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delcol/Desktop/RA/GFU/REPLICATION DROPBOX (NEW)/Comparison_Problematic_Series/"/>
    </mc:Choice>
  </mc:AlternateContent>
  <xr:revisionPtr revIDLastSave="0" documentId="13_ncr:1_{2BDA2AA1-AE4B-0A4F-8645-13AD883FB742}" xr6:coauthVersionLast="47" xr6:coauthVersionMax="47" xr10:uidLastSave="{00000000-0000-0000-0000-000000000000}"/>
  <bookViews>
    <workbookView xWindow="-4400" yWindow="-21600" windowWidth="38400" windowHeight="21600" xr2:uid="{5CDC0227-8FEC-C743-8D81-F493459CAAF4}"/>
  </bookViews>
  <sheets>
    <sheet name="Greece Ex Rate" sheetId="2" r:id="rId1"/>
    <sheet name="Brasil Bond Yield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6" i="1" l="1"/>
  <c r="N147" i="1"/>
  <c r="N148" i="1"/>
  <c r="N149" i="1"/>
  <c r="N150" i="1"/>
  <c r="N151" i="1"/>
  <c r="N152" i="1"/>
  <c r="N153" i="1"/>
  <c r="N154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7" i="1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6" i="2"/>
  <c r="C6" i="2"/>
  <c r="L6" i="2"/>
  <c r="I6" i="2" l="1"/>
  <c r="H6" i="2"/>
  <c r="D6" i="2"/>
  <c r="L7" i="1"/>
  <c r="I7" i="1"/>
  <c r="H7" i="1"/>
  <c r="D7" i="1"/>
  <c r="C7" i="1"/>
</calcChain>
</file>

<file path=xl/sharedStrings.xml><?xml version="1.0" encoding="utf-8"?>
<sst xmlns="http://schemas.openxmlformats.org/spreadsheetml/2006/main" count="450" uniqueCount="266">
  <si>
    <t>old</t>
  </si>
  <si>
    <t>mean old</t>
  </si>
  <si>
    <t>sd old</t>
  </si>
  <si>
    <t>new</t>
  </si>
  <si>
    <t>mean</t>
  </si>
  <si>
    <t>sd</t>
  </si>
  <si>
    <t>corr</t>
  </si>
  <si>
    <t>BR Y</t>
  </si>
  <si>
    <t>Greece_EXR</t>
  </si>
  <si>
    <t>diff (new - old)</t>
  </si>
  <si>
    <t>01/01/2006</t>
  </si>
  <si>
    <t>01/02/2006</t>
  </si>
  <si>
    <t>01/03/2006</t>
  </si>
  <si>
    <t>01/04/2006</t>
  </si>
  <si>
    <t>01/05/2006</t>
  </si>
  <si>
    <t>01/06/2006</t>
  </si>
  <si>
    <t>01/07/2006</t>
  </si>
  <si>
    <t>01/08/2006</t>
  </si>
  <si>
    <t>01/09/2006</t>
  </si>
  <si>
    <t>01/10/2006</t>
  </si>
  <si>
    <t>01/11/2006</t>
  </si>
  <si>
    <t>01/12/2006</t>
  </si>
  <si>
    <t>01/01/2007</t>
  </si>
  <si>
    <t>01/02/2007</t>
  </si>
  <si>
    <t>01/03/2007</t>
  </si>
  <si>
    <t>01/04/2007</t>
  </si>
  <si>
    <t>01/05/2007</t>
  </si>
  <si>
    <t>01/06/2007</t>
  </si>
  <si>
    <t>01/07/2007</t>
  </si>
  <si>
    <t>01/08/2007</t>
  </si>
  <si>
    <t>01/09/2007</t>
  </si>
  <si>
    <t>01/10/2007</t>
  </si>
  <si>
    <t>01/11/2007</t>
  </si>
  <si>
    <t>01/12/2007</t>
  </si>
  <si>
    <t>01/01/2008</t>
  </si>
  <si>
    <t>01/02/2008</t>
  </si>
  <si>
    <t>01/03/2008</t>
  </si>
  <si>
    <t>01/04/2008</t>
  </si>
  <si>
    <t>01/05/2008</t>
  </si>
  <si>
    <t>01/06/2008</t>
  </si>
  <si>
    <t>01/07/2008</t>
  </si>
  <si>
    <t>01/08/2008</t>
  </si>
  <si>
    <t>01/09/2008</t>
  </si>
  <si>
    <t>01/10/2008</t>
  </si>
  <si>
    <t>01/11/2008</t>
  </si>
  <si>
    <t>01/12/2008</t>
  </si>
  <si>
    <t>01/01/2009</t>
  </si>
  <si>
    <t>01/02/2009</t>
  </si>
  <si>
    <t>01/03/2009</t>
  </si>
  <si>
    <t>01/04/2009</t>
  </si>
  <si>
    <t>01/05/2009</t>
  </si>
  <si>
    <t>01/06/2009</t>
  </si>
  <si>
    <t>01/07/2009</t>
  </si>
  <si>
    <t>01/08/2009</t>
  </si>
  <si>
    <t>01/09/2009</t>
  </si>
  <si>
    <t>01/10/2009</t>
  </si>
  <si>
    <t>01/11/2009</t>
  </si>
  <si>
    <t>01/12/2009</t>
  </si>
  <si>
    <t>01/01/2010</t>
  </si>
  <si>
    <t>01/02/2010</t>
  </si>
  <si>
    <t>01/03/2010</t>
  </si>
  <si>
    <t>01/04/2010</t>
  </si>
  <si>
    <t>01/05/2010</t>
  </si>
  <si>
    <t>01/06/2010</t>
  </si>
  <si>
    <t>01/07/2010</t>
  </si>
  <si>
    <t>01/08/2010</t>
  </si>
  <si>
    <t>01/09/2010</t>
  </si>
  <si>
    <t>01/10/2010</t>
  </si>
  <si>
    <t>01/11/2010</t>
  </si>
  <si>
    <t>01/12/2010</t>
  </si>
  <si>
    <t>01/01/2011</t>
  </si>
  <si>
    <t>01/02/2011</t>
  </si>
  <si>
    <t>01/03/2011</t>
  </si>
  <si>
    <t>01/04/2011</t>
  </si>
  <si>
    <t>01/05/2011</t>
  </si>
  <si>
    <t>01/06/2011</t>
  </si>
  <si>
    <t>01/07/2011</t>
  </si>
  <si>
    <t>01/08/2011</t>
  </si>
  <si>
    <t>01/09/2011</t>
  </si>
  <si>
    <t>01/10/2011</t>
  </si>
  <si>
    <t>01/11/2011</t>
  </si>
  <si>
    <t>01/12/2011</t>
  </si>
  <si>
    <t>01/01/2012</t>
  </si>
  <si>
    <t>01/02/2012</t>
  </si>
  <si>
    <t>01/03/2012</t>
  </si>
  <si>
    <t>01/04/2012</t>
  </si>
  <si>
    <t>01/05/2012</t>
  </si>
  <si>
    <t>01/06/2012</t>
  </si>
  <si>
    <t>01/07/2012</t>
  </si>
  <si>
    <t>01/08/2012</t>
  </si>
  <si>
    <t>01/09/2012</t>
  </si>
  <si>
    <t>01/10/2012</t>
  </si>
  <si>
    <t>01/11/2012</t>
  </si>
  <si>
    <t>01/12/2012</t>
  </si>
  <si>
    <t>01/01/2013</t>
  </si>
  <si>
    <t>01/02/2013</t>
  </si>
  <si>
    <t>01/03/2013</t>
  </si>
  <si>
    <t>01/04/2013</t>
  </si>
  <si>
    <t>01/05/2013</t>
  </si>
  <si>
    <t>01/06/2013</t>
  </si>
  <si>
    <t>01/07/2013</t>
  </si>
  <si>
    <t>01/08/2013</t>
  </si>
  <si>
    <t>01/09/2013</t>
  </si>
  <si>
    <t>01/10/2013</t>
  </si>
  <si>
    <t>01/11/2013</t>
  </si>
  <si>
    <t>01/12/2013</t>
  </si>
  <si>
    <t>01/01/2014</t>
  </si>
  <si>
    <t>01/02/2014</t>
  </si>
  <si>
    <t>01/03/2014</t>
  </si>
  <si>
    <t>01/04/2014</t>
  </si>
  <si>
    <t>01/05/2014</t>
  </si>
  <si>
    <t>01/06/2014</t>
  </si>
  <si>
    <t>01/07/2014</t>
  </si>
  <si>
    <t>01/08/2014</t>
  </si>
  <si>
    <t>01/09/2014</t>
  </si>
  <si>
    <t>01/10/2014</t>
  </si>
  <si>
    <t>01/11/2014</t>
  </si>
  <si>
    <t>01/12/2014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</si>
  <si>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</si>
  <si>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</si>
  <si>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</si>
  <si>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</si>
  <si>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</si>
  <si>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</si>
  <si>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</si>
  <si>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</si>
  <si>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</si>
  <si>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</si>
  <si>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</si>
  <si>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</si>
  <si>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</si>
  <si>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</si>
  <si>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</si>
  <si>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</si>
  <si>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</si>
  <si>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</si>
  <si>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</si>
  <si>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</si>
  <si>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</si>
  <si>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</si>
  <si>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</si>
  <si>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</si>
  <si>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</si>
  <si>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</si>
  <si>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</si>
  <si>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</si>
  <si>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</si>
  <si>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</si>
  <si>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</si>
  <si>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</si>
  <si>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</si>
  <si>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</si>
  <si>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</si>
  <si>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</si>
  <si>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</si>
  <si>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</si>
  <si>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</si>
  <si>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</si>
  <si>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</si>
  <si>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</si>
  <si>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</si>
  <si>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</si>
  <si>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</si>
  <si>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</si>
  <si>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</si>
  <si>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</si>
  <si>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</si>
  <si>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</si>
  <si>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</si>
  <si>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</si>
  <si>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</si>
  <si>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</si>
  <si>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</si>
  <si>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</si>
  <si>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</si>
  <si>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</si>
  <si>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</si>
  <si>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</si>
  <si>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</si>
  <si>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</si>
  <si>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</si>
  <si>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</si>
  <si>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</si>
  <si>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</si>
  <si>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</si>
  <si>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</si>
  <si>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</si>
  <si>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</si>
  <si>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</si>
  <si>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</si>
  <si>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</si>
  <si>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</si>
  <si>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</si>
  <si>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</si>
  <si>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</si>
  <si>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</si>
  <si>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</si>
  <si>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</si>
  <si>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</si>
  <si>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</si>
  <si>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</si>
  <si>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</si>
  <si>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</si>
  <si>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</si>
  <si>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</si>
  <si>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</si>
  <si>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</si>
  <si>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</si>
  <si>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</si>
  <si>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</si>
  <si>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</si>
  <si>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</si>
  <si>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</si>
  <si>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</si>
  <si>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</si>
  <si>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</si>
  <si>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</si>
  <si>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</si>
  <si>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</si>
  <si>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</si>
  <si>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</si>
  <si>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</si>
  <si>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</si>
  <si>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</si>
  <si>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</si>
  <si>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</si>
  <si>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</si>
  <si>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</si>
  <si>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</si>
  <si>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</si>
  <si>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</si>
  <si>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</si>
  <si>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</si>
  <si>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</si>
  <si>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</si>
  <si>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</si>
  <si>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</si>
  <si>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</si>
  <si>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</si>
  <si>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</si>
  <si>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</si>
  <si>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</si>
  <si>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</si>
  <si>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</si>
  <si>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</si>
  <si>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</si>
  <si>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</si>
  <si>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</si>
  <si>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</si>
  <si>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</si>
  <si>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01/01/2026</t>
  </si>
  <si>
    <t>01/02/2026</t>
  </si>
  <si>
    <t>01/03/2026</t>
  </si>
  <si>
    <t>01/04/2026</t>
  </si>
  <si>
    <t>01/05/2026</t>
  </si>
  <si>
    <t>01/06/2026</t>
  </si>
  <si>
    <t>Diff (new - old)</t>
  </si>
  <si>
    <t>Prima osservazione che crea problemi che dovrebbe esserci al posto della casella rossa</t>
  </si>
  <si>
    <t>Fonte OLD</t>
  </si>
  <si>
    <t>NO_DS_10YR_RETURNS_DEL_COL_update2026</t>
  </si>
  <si>
    <t>colonna L: monthly standard deviation originale calcolata da C&amp;C</t>
  </si>
  <si>
    <t>Fonte new</t>
  </si>
  <si>
    <t>PHASE_B_10YR_monthly_df</t>
  </si>
  <si>
    <t>NO_DS_EX_RETURNS_DEL_COL_update2026</t>
  </si>
  <si>
    <t>colonna K(58:374) : monthly standard deviation originale calcolata da C&amp;C</t>
  </si>
  <si>
    <t>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</si>
</sst>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Fill="1"/>
    <xf numFmtId="0" fontId="0" fillId="0" borderId="0" xfId="0" applyFill="1"/>
    <xf numFmtId="0" fontId="0" fillId="3" borderId="0" xfId="0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Grecia 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[1]Sheet1!$F$5:$F$339</c:f>
              <c:numCache>
                <c:formatCode>General</c:formatCode>
                <c:ptCount val="335"/>
                <c:pt idx="0">
                  <c:v>0.41603528885032048</c:v>
                </c:pt>
                <c:pt idx="1">
                  <c:v>0.25165615210703041</c:v>
                </c:pt>
                <c:pt idx="2">
                  <c:v>0.25398781651576319</c:v>
                </c:pt>
                <c:pt idx="3">
                  <c:v>0.32639671138731979</c:v>
                </c:pt>
                <c:pt idx="4">
                  <c:v>0.37075412465830698</c:v>
                </c:pt>
                <c:pt idx="5">
                  <c:v>0.24241462314880169</c:v>
                </c:pt>
                <c:pt idx="6">
                  <c:v>0.27521208838150041</c:v>
                </c:pt>
                <c:pt idx="7">
                  <c:v>0.28544016593786581</c:v>
                </c:pt>
                <c:pt idx="8">
                  <c:v>0.1748343663046433</c:v>
                </c:pt>
                <c:pt idx="9">
                  <c:v>0.21893322299589699</c:v>
                </c:pt>
                <c:pt idx="10">
                  <c:v>0.27317927991508401</c:v>
                </c:pt>
                <c:pt idx="11">
                  <c:v>0.32580307266674591</c:v>
                </c:pt>
                <c:pt idx="12">
                  <c:v>0.35015017437070572</c:v>
                </c:pt>
                <c:pt idx="13">
                  <c:v>0.41903344582912588</c:v>
                </c:pt>
                <c:pt idx="14">
                  <c:v>0.31296704682673632</c:v>
                </c:pt>
                <c:pt idx="15">
                  <c:v>0.33238451705976391</c:v>
                </c:pt>
                <c:pt idx="16">
                  <c:v>0.35764945677835669</c:v>
                </c:pt>
                <c:pt idx="17">
                  <c:v>0.25064640617929029</c:v>
                </c:pt>
                <c:pt idx="18">
                  <c:v>0.37604959899043461</c:v>
                </c:pt>
                <c:pt idx="19">
                  <c:v>0.17821915675260391</c:v>
                </c:pt>
                <c:pt idx="20">
                  <c:v>0.33466992882930779</c:v>
                </c:pt>
                <c:pt idx="21">
                  <c:v>0.2167777417422555</c:v>
                </c:pt>
                <c:pt idx="22">
                  <c:v>0.22689676315354049</c:v>
                </c:pt>
                <c:pt idx="23">
                  <c:v>0.26971045225561108</c:v>
                </c:pt>
                <c:pt idx="24">
                  <c:v>0.18368610436266289</c:v>
                </c:pt>
                <c:pt idx="25">
                  <c:v>0.21926683998551019</c:v>
                </c:pt>
                <c:pt idx="26">
                  <c:v>0.1871872087258443</c:v>
                </c:pt>
                <c:pt idx="27">
                  <c:v>0.30010355508288789</c:v>
                </c:pt>
                <c:pt idx="28">
                  <c:v>0.2499697304653698</c:v>
                </c:pt>
                <c:pt idx="29">
                  <c:v>0.42702692186094782</c:v>
                </c:pt>
                <c:pt idx="30">
                  <c:v>0.25680421508427548</c:v>
                </c:pt>
                <c:pt idx="31">
                  <c:v>0.29791518945731099</c:v>
                </c:pt>
                <c:pt idx="32">
                  <c:v>0.2356677556791075</c:v>
                </c:pt>
                <c:pt idx="33">
                  <c:v>0.29404194588751797</c:v>
                </c:pt>
                <c:pt idx="34">
                  <c:v>0.28198959346102948</c:v>
                </c:pt>
                <c:pt idx="35">
                  <c:v>0.37975317217353322</c:v>
                </c:pt>
                <c:pt idx="36">
                  <c:v>0.58477451138239367</c:v>
                </c:pt>
                <c:pt idx="37">
                  <c:v>0.25018703244121793</c:v>
                </c:pt>
                <c:pt idx="38">
                  <c:v>0.28494128455292261</c:v>
                </c:pt>
                <c:pt idx="39">
                  <c:v>0.26236871958366542</c:v>
                </c:pt>
                <c:pt idx="40">
                  <c:v>0.21484627675409471</c:v>
                </c:pt>
                <c:pt idx="41">
                  <c:v>0.12256566548898459</c:v>
                </c:pt>
                <c:pt idx="42">
                  <c:v>0.17760209389047721</c:v>
                </c:pt>
                <c:pt idx="43">
                  <c:v>0.14164027360588541</c:v>
                </c:pt>
                <c:pt idx="44">
                  <c:v>0.15225615155658551</c:v>
                </c:pt>
                <c:pt idx="45">
                  <c:v>0.17899250384316909</c:v>
                </c:pt>
                <c:pt idx="46">
                  <c:v>0.14967573499018899</c:v>
                </c:pt>
                <c:pt idx="47">
                  <c:v>0.1238896599125501</c:v>
                </c:pt>
                <c:pt idx="48">
                  <c:v>0.14311313173537779</c:v>
                </c:pt>
                <c:pt idx="49">
                  <c:v>0.19138082460520001</c:v>
                </c:pt>
                <c:pt idx="50">
                  <c:v>0.24041202890237151</c:v>
                </c:pt>
                <c:pt idx="51">
                  <c:v>0.32682493255363809</c:v>
                </c:pt>
                <c:pt idx="52">
                  <c:v>0.2104765474492343</c:v>
                </c:pt>
                <c:pt idx="53">
                  <c:v>0.21735707709100741</c:v>
                </c:pt>
                <c:pt idx="54">
                  <c:v>0.1717948336140675</c:v>
                </c:pt>
                <c:pt idx="55">
                  <c:v>0.34771479888016421</c:v>
                </c:pt>
                <c:pt idx="56">
                  <c:v>0.30079897384618931</c:v>
                </c:pt>
                <c:pt idx="57">
                  <c:v>0.2027556071822019</c:v>
                </c:pt>
                <c:pt idx="58">
                  <c:v>0.27854226146209449</c:v>
                </c:pt>
                <c:pt idx="59">
                  <c:v>0.17951951268233721</c:v>
                </c:pt>
                <c:pt idx="60">
                  <c:v>0.2866987477674614</c:v>
                </c:pt>
                <c:pt idx="61">
                  <c:v>0.24214187178275901</c:v>
                </c:pt>
                <c:pt idx="62">
                  <c:v>0.22702265562140919</c:v>
                </c:pt>
                <c:pt idx="63">
                  <c:v>0.30210056798392559</c:v>
                </c:pt>
                <c:pt idx="64">
                  <c:v>0.37020247059078082</c:v>
                </c:pt>
                <c:pt idx="65">
                  <c:v>0.29667824827513289</c:v>
                </c:pt>
                <c:pt idx="66">
                  <c:v>0.23245017633619761</c:v>
                </c:pt>
                <c:pt idx="67">
                  <c:v>0.2418538221122894</c:v>
                </c:pt>
                <c:pt idx="68">
                  <c:v>0.22444419448312139</c:v>
                </c:pt>
                <c:pt idx="69">
                  <c:v>0.19623708819082339</c:v>
                </c:pt>
                <c:pt idx="70">
                  <c:v>0.41414190397980921</c:v>
                </c:pt>
                <c:pt idx="71">
                  <c:v>0.71685749729741355</c:v>
                </c:pt>
                <c:pt idx="72">
                  <c:v>0.60088727064360614</c:v>
                </c:pt>
                <c:pt idx="73">
                  <c:v>0.45479517368457661</c:v>
                </c:pt>
                <c:pt idx="74">
                  <c:v>0.26639840263661441</c:v>
                </c:pt>
                <c:pt idx="75">
                  <c:v>0.50315146113588194</c:v>
                </c:pt>
                <c:pt idx="76">
                  <c:v>0.44628562978686809</c:v>
                </c:pt>
                <c:pt idx="77">
                  <c:v>0.3601082273844789</c:v>
                </c:pt>
                <c:pt idx="78">
                  <c:v>0.3325705339046261</c:v>
                </c:pt>
                <c:pt idx="79">
                  <c:v>0.31918005871441968</c:v>
                </c:pt>
                <c:pt idx="80">
                  <c:v>0.36978228101975152</c:v>
                </c:pt>
                <c:pt idx="81">
                  <c:v>0.27016223043052812</c:v>
                </c:pt>
                <c:pt idx="82">
                  <c:v>0.41044218403410071</c:v>
                </c:pt>
                <c:pt idx="83">
                  <c:v>0.35154108278410212</c:v>
                </c:pt>
                <c:pt idx="84">
                  <c:v>0.27502224863850577</c:v>
                </c:pt>
                <c:pt idx="85">
                  <c:v>0.25850962394431848</c:v>
                </c:pt>
                <c:pt idx="86">
                  <c:v>0.28168619373371823</c:v>
                </c:pt>
                <c:pt idx="87">
                  <c:v>0.33673197034508778</c:v>
                </c:pt>
                <c:pt idx="88">
                  <c:v>0.31087069295782133</c:v>
                </c:pt>
                <c:pt idx="89">
                  <c:v>0.29042418805102338</c:v>
                </c:pt>
                <c:pt idx="90">
                  <c:v>0.31796420663943958</c:v>
                </c:pt>
                <c:pt idx="91">
                  <c:v>0.32374586055168192</c:v>
                </c:pt>
                <c:pt idx="92">
                  <c:v>0.30877265462539111</c:v>
                </c:pt>
                <c:pt idx="93">
                  <c:v>0.33056686546583092</c:v>
                </c:pt>
                <c:pt idx="94">
                  <c:v>0.32194428169183992</c:v>
                </c:pt>
                <c:pt idx="95">
                  <c:v>0.26807579048184849</c:v>
                </c:pt>
                <c:pt idx="96">
                  <c:v>0.30439711817134418</c:v>
                </c:pt>
                <c:pt idx="97">
                  <c:v>0.32501167904036282</c:v>
                </c:pt>
                <c:pt idx="98">
                  <c:v>0.32512902741129418</c:v>
                </c:pt>
                <c:pt idx="99">
                  <c:v>0.27065588472699881</c:v>
                </c:pt>
                <c:pt idx="100">
                  <c:v>0.34910416108250159</c:v>
                </c:pt>
                <c:pt idx="101">
                  <c:v>0.48044597493659258</c:v>
                </c:pt>
                <c:pt idx="102">
                  <c:v>0.51322453601076656</c:v>
                </c:pt>
                <c:pt idx="103">
                  <c:v>0.33651255071221298</c:v>
                </c:pt>
                <c:pt idx="104">
                  <c:v>0.40178973911064808</c:v>
                </c:pt>
                <c:pt idx="105">
                  <c:v>0.30049656036292449</c:v>
                </c:pt>
                <c:pt idx="106">
                  <c:v>0.34680579107091508</c:v>
                </c:pt>
                <c:pt idx="107">
                  <c:v>0.24518607893322589</c:v>
                </c:pt>
                <c:pt idx="108">
                  <c:v>0.31708502046571169</c:v>
                </c:pt>
                <c:pt idx="109">
                  <c:v>0.31818794635963499</c:v>
                </c:pt>
                <c:pt idx="110">
                  <c:v>0.33027432152454939</c:v>
                </c:pt>
                <c:pt idx="111">
                  <c:v>0.42542332965866048</c:v>
                </c:pt>
                <c:pt idx="112">
                  <c:v>0.27410794495947138</c:v>
                </c:pt>
                <c:pt idx="113">
                  <c:v>0.3140345743405617</c:v>
                </c:pt>
                <c:pt idx="114">
                  <c:v>0.25111478131821913</c:v>
                </c:pt>
                <c:pt idx="115">
                  <c:v>0.30113268427076861</c:v>
                </c:pt>
                <c:pt idx="116">
                  <c:v>0.37945975064223603</c:v>
                </c:pt>
                <c:pt idx="117">
                  <c:v>0.54160834438061844</c:v>
                </c:pt>
                <c:pt idx="118">
                  <c:v>0.39208144572539322</c:v>
                </c:pt>
                <c:pt idx="119">
                  <c:v>0.36854252849688152</c:v>
                </c:pt>
                <c:pt idx="120">
                  <c:v>0.27395559759135479</c:v>
                </c:pt>
                <c:pt idx="121">
                  <c:v>0.35300567539677619</c:v>
                </c:pt>
                <c:pt idx="122">
                  <c:v>0.37955345273978908</c:v>
                </c:pt>
                <c:pt idx="123">
                  <c:v>0.34535982050228381</c:v>
                </c:pt>
                <c:pt idx="124">
                  <c:v>0.34279445753693089</c:v>
                </c:pt>
                <c:pt idx="125">
                  <c:v>0.38473126373739608</c:v>
                </c:pt>
                <c:pt idx="126">
                  <c:v>0.46400042501860689</c:v>
                </c:pt>
                <c:pt idx="127">
                  <c:v>0.61208891022932632</c:v>
                </c:pt>
                <c:pt idx="128">
                  <c:v>0.77802304919240362</c:v>
                </c:pt>
                <c:pt idx="129">
                  <c:v>0.72615259180857394</c:v>
                </c:pt>
                <c:pt idx="130">
                  <c:v>0.54806593466535236</c:v>
                </c:pt>
                <c:pt idx="131">
                  <c:v>0.42123836751994859</c:v>
                </c:pt>
                <c:pt idx="132">
                  <c:v>0.52884933818160484</c:v>
                </c:pt>
                <c:pt idx="133">
                  <c:v>0.63766718042744708</c:v>
                </c:pt>
                <c:pt idx="134">
                  <c:v>0.67664338351949682</c:v>
                </c:pt>
                <c:pt idx="135">
                  <c:v>0.71740951997775293</c:v>
                </c:pt>
                <c:pt idx="136">
                  <c:v>0.54040014730194141</c:v>
                </c:pt>
                <c:pt idx="137">
                  <c:v>0.60754837574542708</c:v>
                </c:pt>
                <c:pt idx="138">
                  <c:v>0.40778409514504332</c:v>
                </c:pt>
                <c:pt idx="139">
                  <c:v>0.5094899472363974</c:v>
                </c:pt>
                <c:pt idx="140">
                  <c:v>0.49360783751823029</c:v>
                </c:pt>
                <c:pt idx="141">
                  <c:v>0.53019633234694619</c:v>
                </c:pt>
                <c:pt idx="142">
                  <c:v>0.59682315102444916</c:v>
                </c:pt>
                <c:pt idx="143">
                  <c:v>0.47310373944942719</c:v>
                </c:pt>
                <c:pt idx="144">
                  <c:v>0.49832771629215661</c:v>
                </c:pt>
                <c:pt idx="145">
                  <c:v>0.62442755071330702</c:v>
                </c:pt>
                <c:pt idx="146">
                  <c:v>0.69026111438391524</c:v>
                </c:pt>
                <c:pt idx="147">
                  <c:v>0.76340170383981298</c:v>
                </c:pt>
                <c:pt idx="148">
                  <c:v>0.50790808236615881</c:v>
                </c:pt>
                <c:pt idx="149">
                  <c:v>0.60762495998461497</c:v>
                </c:pt>
                <c:pt idx="150">
                  <c:v>0.36357071170353028</c:v>
                </c:pt>
                <c:pt idx="151">
                  <c:v>0.44650560735079342</c:v>
                </c:pt>
                <c:pt idx="152">
                  <c:v>0.42053533293360729</c:v>
                </c:pt>
                <c:pt idx="153">
                  <c:v>0.58521609951262377</c:v>
                </c:pt>
                <c:pt idx="154">
                  <c:v>0.49977780345060863</c:v>
                </c:pt>
                <c:pt idx="155">
                  <c:v>0.46917047455845939</c:v>
                </c:pt>
                <c:pt idx="156">
                  <c:v>0.50803893832817737</c:v>
                </c:pt>
                <c:pt idx="157">
                  <c:v>0.35829785923497381</c:v>
                </c:pt>
                <c:pt idx="158">
                  <c:v>0.42252066875392152</c:v>
                </c:pt>
                <c:pt idx="159">
                  <c:v>0.49092763096905212</c:v>
                </c:pt>
                <c:pt idx="160">
                  <c:v>0.4091218406160223</c:v>
                </c:pt>
                <c:pt idx="161">
                  <c:v>0.36654411797570818</c:v>
                </c:pt>
                <c:pt idx="162">
                  <c:v>0.32130652050797071</c:v>
                </c:pt>
                <c:pt idx="163">
                  <c:v>0.53399705859486724</c:v>
                </c:pt>
                <c:pt idx="164">
                  <c:v>0.71122520394436162</c:v>
                </c:pt>
                <c:pt idx="165">
                  <c:v>0.37701016521907038</c:v>
                </c:pt>
                <c:pt idx="166">
                  <c:v>0.36803154574908931</c:v>
                </c:pt>
                <c:pt idx="167">
                  <c:v>0.38320874857351678</c:v>
                </c:pt>
                <c:pt idx="168">
                  <c:v>0.34259651605994967</c:v>
                </c:pt>
                <c:pt idx="169">
                  <c:v>0.36994677884665522</c:v>
                </c:pt>
                <c:pt idx="170">
                  <c:v>0.29580001024141728</c:v>
                </c:pt>
                <c:pt idx="171">
                  <c:v>0.26166641734192669</c:v>
                </c:pt>
                <c:pt idx="172">
                  <c:v>0.41368701332601387</c:v>
                </c:pt>
                <c:pt idx="173">
                  <c:v>0.38518206173366759</c:v>
                </c:pt>
                <c:pt idx="174">
                  <c:v>0.37033064175340669</c:v>
                </c:pt>
                <c:pt idx="175">
                  <c:v>0.40511823329837099</c:v>
                </c:pt>
                <c:pt idx="176">
                  <c:v>0.42833915457807847</c:v>
                </c:pt>
                <c:pt idx="177">
                  <c:v>0.52456754441022291</c:v>
                </c:pt>
                <c:pt idx="178">
                  <c:v>0.58057867035752098</c:v>
                </c:pt>
                <c:pt idx="179">
                  <c:v>0.46534358431960238</c:v>
                </c:pt>
                <c:pt idx="180">
                  <c:v>0.71181331695565819</c:v>
                </c:pt>
                <c:pt idx="181">
                  <c:v>1.0031377967947619</c:v>
                </c:pt>
                <c:pt idx="182">
                  <c:v>0.58689075171915972</c:v>
                </c:pt>
                <c:pt idx="183">
                  <c:v>0.67504789961035172</c:v>
                </c:pt>
                <c:pt idx="184">
                  <c:v>0.85821241007472693</c:v>
                </c:pt>
                <c:pt idx="185">
                  <c:v>0.76021112368640809</c:v>
                </c:pt>
                <c:pt idx="186">
                  <c:v>0.64981316398577238</c:v>
                </c:pt>
                <c:pt idx="187">
                  <c:v>0.56907335422113425</c:v>
                </c:pt>
                <c:pt idx="188">
                  <c:v>0.46283421656418577</c:v>
                </c:pt>
                <c:pt idx="189">
                  <c:v>0.44704332115911749</c:v>
                </c:pt>
                <c:pt idx="190">
                  <c:v>0.62811319465949744</c:v>
                </c:pt>
                <c:pt idx="191">
                  <c:v>0.8791420589928437</c:v>
                </c:pt>
                <c:pt idx="192">
                  <c:v>1.80155173590267</c:v>
                </c:pt>
                <c:pt idx="193">
                  <c:v>1.901272101155117</c:v>
                </c:pt>
                <c:pt idx="194">
                  <c:v>1.5009832178781179</c:v>
                </c:pt>
                <c:pt idx="195">
                  <c:v>1.1626620932986931</c:v>
                </c:pt>
                <c:pt idx="196">
                  <c:v>0.835349188731912</c:v>
                </c:pt>
                <c:pt idx="197">
                  <c:v>1.036324672958014</c:v>
                </c:pt>
                <c:pt idx="198">
                  <c:v>0.92728393437336742</c:v>
                </c:pt>
                <c:pt idx="199">
                  <c:v>0.61169718210753121</c:v>
                </c:pt>
                <c:pt idx="200">
                  <c:v>1.0090510109866671</c:v>
                </c:pt>
                <c:pt idx="201">
                  <c:v>0.72371430456191765</c:v>
                </c:pt>
                <c:pt idx="202">
                  <c:v>0.92242658150813461</c:v>
                </c:pt>
                <c:pt idx="203">
                  <c:v>0.7942097965946302</c:v>
                </c:pt>
                <c:pt idx="204">
                  <c:v>0.88144182774708124</c:v>
                </c:pt>
                <c:pt idx="205">
                  <c:v>0.78847684143230312</c:v>
                </c:pt>
                <c:pt idx="206">
                  <c:v>0.6480747356339881</c:v>
                </c:pt>
                <c:pt idx="207">
                  <c:v>0.55592996649365978</c:v>
                </c:pt>
                <c:pt idx="208">
                  <c:v>0.68723548208128971</c:v>
                </c:pt>
                <c:pt idx="209">
                  <c:v>0.52891928891476492</c:v>
                </c:pt>
                <c:pt idx="210">
                  <c:v>0.78463194843003425</c:v>
                </c:pt>
                <c:pt idx="211">
                  <c:v>1.083946760776944</c:v>
                </c:pt>
                <c:pt idx="212">
                  <c:v>0.77845149470085062</c:v>
                </c:pt>
                <c:pt idx="213">
                  <c:v>0.67920981086028487</c:v>
                </c:pt>
                <c:pt idx="214">
                  <c:v>0.65530909954162364</c:v>
                </c:pt>
                <c:pt idx="215">
                  <c:v>0.5108818440486822</c:v>
                </c:pt>
                <c:pt idx="216">
                  <c:v>0.6831165720960185</c:v>
                </c:pt>
                <c:pt idx="217">
                  <c:v>0.61508236890647516</c:v>
                </c:pt>
                <c:pt idx="218">
                  <c:v>0.43560717268548121</c:v>
                </c:pt>
                <c:pt idx="219">
                  <c:v>0.44041752782300608</c:v>
                </c:pt>
                <c:pt idx="220">
                  <c:v>0.41475607546042031</c:v>
                </c:pt>
                <c:pt idx="221">
                  <c:v>0.42614951839891052</c:v>
                </c:pt>
                <c:pt idx="222">
                  <c:v>0.49795913901334088</c:v>
                </c:pt>
                <c:pt idx="223">
                  <c:v>0.52016414726376614</c:v>
                </c:pt>
                <c:pt idx="224">
                  <c:v>0.58793503957001103</c:v>
                </c:pt>
                <c:pt idx="225">
                  <c:v>0.51453066623416799</c:v>
                </c:pt>
                <c:pt idx="226">
                  <c:v>0.5010160713359546</c:v>
                </c:pt>
                <c:pt idx="227">
                  <c:v>0.95493192990527098</c:v>
                </c:pt>
                <c:pt idx="228">
                  <c:v>0.84274972436231499</c:v>
                </c:pt>
                <c:pt idx="229">
                  <c:v>0.83056115104181161</c:v>
                </c:pt>
                <c:pt idx="230">
                  <c:v>0.48025356623155763</c:v>
                </c:pt>
                <c:pt idx="231">
                  <c:v>0.57473955379356467</c:v>
                </c:pt>
                <c:pt idx="232">
                  <c:v>0.34501413780865792</c:v>
                </c:pt>
                <c:pt idx="233">
                  <c:v>0.41712374277670272</c:v>
                </c:pt>
                <c:pt idx="234">
                  <c:v>0.54895070368911369</c:v>
                </c:pt>
                <c:pt idx="235">
                  <c:v>0.41279653796840188</c:v>
                </c:pt>
                <c:pt idx="236">
                  <c:v>0.56792129850536321</c:v>
                </c:pt>
                <c:pt idx="237">
                  <c:v>0.37999829340716978</c:v>
                </c:pt>
                <c:pt idx="238">
                  <c:v>0.32146001406943059</c:v>
                </c:pt>
                <c:pt idx="239">
                  <c:v>0.37818841706220729</c:v>
                </c:pt>
                <c:pt idx="240">
                  <c:v>0.39591972867403802</c:v>
                </c:pt>
                <c:pt idx="241">
                  <c:v>0.2326755889552696</c:v>
                </c:pt>
                <c:pt idx="242">
                  <c:v>0.19796696090322999</c:v>
                </c:pt>
                <c:pt idx="243">
                  <c:v>0.35882161709735472</c:v>
                </c:pt>
                <c:pt idx="244">
                  <c:v>0.28420414597596938</c:v>
                </c:pt>
                <c:pt idx="245">
                  <c:v>0.2464455257744804</c:v>
                </c:pt>
                <c:pt idx="246">
                  <c:v>0.34592108945996142</c:v>
                </c:pt>
                <c:pt idx="247">
                  <c:v>0.37362012638382691</c:v>
                </c:pt>
                <c:pt idx="248">
                  <c:v>0.60341264384345539</c:v>
                </c:pt>
                <c:pt idx="249">
                  <c:v>0.33269853816948192</c:v>
                </c:pt>
                <c:pt idx="250">
                  <c:v>0.34098207085455051</c:v>
                </c:pt>
                <c:pt idx="251">
                  <c:v>0.33932394102229019</c:v>
                </c:pt>
                <c:pt idx="252">
                  <c:v>0.32676368157661428</c:v>
                </c:pt>
                <c:pt idx="253">
                  <c:v>0.28642323083555049</c:v>
                </c:pt>
                <c:pt idx="254">
                  <c:v>0.34411647073834101</c:v>
                </c:pt>
                <c:pt idx="255">
                  <c:v>0.40156158421302968</c:v>
                </c:pt>
                <c:pt idx="256">
                  <c:v>0.3891960586326545</c:v>
                </c:pt>
                <c:pt idx="257">
                  <c:v>0.51955207395582403</c:v>
                </c:pt>
                <c:pt idx="258">
                  <c:v>0.2690873900150566</c:v>
                </c:pt>
                <c:pt idx="259">
                  <c:v>0.24664058091187371</c:v>
                </c:pt>
                <c:pt idx="260">
                  <c:v>0.23104477198585341</c:v>
                </c:pt>
                <c:pt idx="261">
                  <c:v>0.2808324925767483</c:v>
                </c:pt>
                <c:pt idx="262">
                  <c:v>0.29738323627961172</c:v>
                </c:pt>
                <c:pt idx="263">
                  <c:v>0.40080091857862138</c:v>
                </c:pt>
                <c:pt idx="264">
                  <c:v>0.43001978152462511</c:v>
                </c:pt>
                <c:pt idx="265">
                  <c:v>0.54690430654381217</c:v>
                </c:pt>
                <c:pt idx="266">
                  <c:v>0.35492862880164328</c:v>
                </c:pt>
                <c:pt idx="267">
                  <c:v>0.62012402558158397</c:v>
                </c:pt>
                <c:pt idx="268">
                  <c:v>0.76438397608954423</c:v>
                </c:pt>
                <c:pt idx="269">
                  <c:v>0.59654234362055891</c:v>
                </c:pt>
                <c:pt idx="270">
                  <c:v>0.63222958731361611</c:v>
                </c:pt>
                <c:pt idx="271">
                  <c:v>0.59855582327344548</c:v>
                </c:pt>
                <c:pt idx="272">
                  <c:v>0.50836888132768943</c:v>
                </c:pt>
                <c:pt idx="273">
                  <c:v>0.48992863809389497</c:v>
                </c:pt>
                <c:pt idx="274">
                  <c:v>0.58971644898607845</c:v>
                </c:pt>
                <c:pt idx="275">
                  <c:v>0.44081655034811817</c:v>
                </c:pt>
                <c:pt idx="276">
                  <c:v>0.56649677683740141</c:v>
                </c:pt>
                <c:pt idx="277">
                  <c:v>0.36968046897254719</c:v>
                </c:pt>
                <c:pt idx="278">
                  <c:v>0.49656006201611352</c:v>
                </c:pt>
                <c:pt idx="279">
                  <c:v>0.78572120808366119</c:v>
                </c:pt>
                <c:pt idx="280">
                  <c:v>0.71916137398358637</c:v>
                </c:pt>
                <c:pt idx="281">
                  <c:v>0.91624451737870316</c:v>
                </c:pt>
                <c:pt idx="282">
                  <c:v>0.64090160173264143</c:v>
                </c:pt>
                <c:pt idx="283">
                  <c:v>0.64507374765599945</c:v>
                </c:pt>
                <c:pt idx="284">
                  <c:v>0.69773587134391746</c:v>
                </c:pt>
                <c:pt idx="285">
                  <c:v>0.51165407315141032</c:v>
                </c:pt>
                <c:pt idx="286">
                  <c:v>0.48317145204412199</c:v>
                </c:pt>
                <c:pt idx="287">
                  <c:v>0.61796070057511798</c:v>
                </c:pt>
                <c:pt idx="288">
                  <c:v>0.4005127915971704</c:v>
                </c:pt>
                <c:pt idx="289">
                  <c:v>0.4380617057779192</c:v>
                </c:pt>
                <c:pt idx="290">
                  <c:v>0.56443634657228703</c:v>
                </c:pt>
                <c:pt idx="291">
                  <c:v>0.52152964625420528</c:v>
                </c:pt>
                <c:pt idx="292">
                  <c:v>0.43403384329389222</c:v>
                </c:pt>
                <c:pt idx="293">
                  <c:v>0.37174207488470129</c:v>
                </c:pt>
                <c:pt idx="294">
                  <c:v>0.35326340021536939</c:v>
                </c:pt>
                <c:pt idx="295">
                  <c:v>0.29305923431844949</c:v>
                </c:pt>
                <c:pt idx="296">
                  <c:v>0.51044193123321524</c:v>
                </c:pt>
                <c:pt idx="297">
                  <c:v>0.39333069467082549</c:v>
                </c:pt>
                <c:pt idx="298">
                  <c:v>0.36322304160846719</c:v>
                </c:pt>
                <c:pt idx="299">
                  <c:v>0.4699827738507063</c:v>
                </c:pt>
                <c:pt idx="300">
                  <c:v>0.42525518853732752</c:v>
                </c:pt>
                <c:pt idx="301">
                  <c:v>0.32994862383376522</c:v>
                </c:pt>
                <c:pt idx="302">
                  <c:v>0.48614608971223922</c:v>
                </c:pt>
                <c:pt idx="303">
                  <c:v>0.35325850598699959</c:v>
                </c:pt>
                <c:pt idx="304">
                  <c:v>0.3681526530953369</c:v>
                </c:pt>
                <c:pt idx="305">
                  <c:v>0.51243120011908661</c:v>
                </c:pt>
                <c:pt idx="306">
                  <c:v>0.44487877126674158</c:v>
                </c:pt>
                <c:pt idx="307">
                  <c:v>0.60045886885037547</c:v>
                </c:pt>
                <c:pt idx="308">
                  <c:v>0.4497229721505025</c:v>
                </c:pt>
                <c:pt idx="309">
                  <c:v>0.3432534318022058</c:v>
                </c:pt>
                <c:pt idx="310">
                  <c:v>0.31735701540772132</c:v>
                </c:pt>
                <c:pt idx="311">
                  <c:v>0.40633591982140832</c:v>
                </c:pt>
                <c:pt idx="312">
                  <c:v>0.39532742375956842</c:v>
                </c:pt>
                <c:pt idx="313">
                  <c:v>0.2976030522597945</c:v>
                </c:pt>
                <c:pt idx="314">
                  <c:v>0.5274399191830248</c:v>
                </c:pt>
                <c:pt idx="315">
                  <c:v>0.38168799784726792</c:v>
                </c:pt>
                <c:pt idx="316">
                  <c:v>0.32486862307877129</c:v>
                </c:pt>
                <c:pt idx="317">
                  <c:v>0.34673494140765082</c:v>
                </c:pt>
                <c:pt idx="318">
                  <c:v>0.27613285336127269</c:v>
                </c:pt>
                <c:pt idx="319">
                  <c:v>0.25097908807814118</c:v>
                </c:pt>
                <c:pt idx="320">
                  <c:v>0.34811891665821421</c:v>
                </c:pt>
                <c:pt idx="321">
                  <c:v>0.2118303860195293</c:v>
                </c:pt>
                <c:pt idx="322">
                  <c:v>0.32826649867355401</c:v>
                </c:pt>
                <c:pt idx="323">
                  <c:v>0.26996832697457462</c:v>
                </c:pt>
                <c:pt idx="324">
                  <c:v>0.30481636131697809</c:v>
                </c:pt>
                <c:pt idx="325">
                  <c:v>0.19722948381251809</c:v>
                </c:pt>
                <c:pt idx="326">
                  <c:v>0.28924515748582591</c:v>
                </c:pt>
                <c:pt idx="327">
                  <c:v>0.20192925721886859</c:v>
                </c:pt>
                <c:pt idx="328">
                  <c:v>0.22068129554233609</c:v>
                </c:pt>
                <c:pt idx="329">
                  <c:v>1.00371893780306</c:v>
                </c:pt>
                <c:pt idx="330">
                  <c:v>0.61064698768160097</c:v>
                </c:pt>
                <c:pt idx="331">
                  <c:v>0.68029841081504039</c:v>
                </c:pt>
                <c:pt idx="332">
                  <c:v>0.56226850972010523</c:v>
                </c:pt>
                <c:pt idx="333">
                  <c:v>0.32603291499748949</c:v>
                </c:pt>
                <c:pt idx="334">
                  <c:v>0.35401836936234332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C-1F4A-9473-2DC0B4676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79039"/>
        <c:axId val="64866943"/>
      </c:lineChart>
      <c:catAx>
        <c:axId val="64879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866943"/>
        <c:crosses val="autoZero"/>
        <c:auto val="1"/>
        <c:lblAlgn val="ctr"/>
        <c:lblOffset val="100"/>
        <c:noMultiLvlLbl val="0"/>
      </c:catAx>
      <c:valAx>
        <c:axId val="6486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87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Grecia</a:t>
            </a:r>
            <a:r>
              <a:rPr lang="it-IT" baseline="0"/>
              <a:t> Old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'Greece Ex Rate'!$B$6:$B$322</c:f>
              <c:numCache>
                <c:formatCode>General</c:formatCode>
                <c:ptCount val="317"/>
                <c:pt idx="0">
                  <c:v>0.41107630000000001</c:v>
                </c:pt>
                <c:pt idx="1">
                  <c:v>0.42117510000000002</c:v>
                </c:pt>
                <c:pt idx="2">
                  <c:v>0.39426230000000001</c:v>
                </c:pt>
                <c:pt idx="3">
                  <c:v>0.45903749999999999</c:v>
                </c:pt>
                <c:pt idx="4">
                  <c:v>0.58324030000000004</c:v>
                </c:pt>
                <c:pt idx="5">
                  <c:v>0.72399959999999997</c:v>
                </c:pt>
                <c:pt idx="6">
                  <c:v>0.87429789999999996</c:v>
                </c:pt>
                <c:pt idx="7">
                  <c:v>0.72552289999999997</c:v>
                </c:pt>
                <c:pt idx="8">
                  <c:v>0.51345799999999997</c:v>
                </c:pt>
                <c:pt idx="9">
                  <c:v>0.58027019999999996</c:v>
                </c:pt>
                <c:pt idx="10">
                  <c:v>0.53101410000000004</c:v>
                </c:pt>
                <c:pt idx="11">
                  <c:v>0.32663199999999998</c:v>
                </c:pt>
                <c:pt idx="12">
                  <c:v>0.49560520000000002</c:v>
                </c:pt>
                <c:pt idx="13">
                  <c:v>0.48195450000000001</c:v>
                </c:pt>
                <c:pt idx="14">
                  <c:v>0.84158949999999999</c:v>
                </c:pt>
                <c:pt idx="15">
                  <c:v>0.65374670000000001</c:v>
                </c:pt>
                <c:pt idx="16">
                  <c:v>1.1790860000000001</c:v>
                </c:pt>
                <c:pt idx="17">
                  <c:v>0.5350509</c:v>
                </c:pt>
                <c:pt idx="18">
                  <c:v>0.43215720000000002</c:v>
                </c:pt>
                <c:pt idx="19">
                  <c:v>0.59578469999999994</c:v>
                </c:pt>
                <c:pt idx="20">
                  <c:v>0.61095900000000003</c:v>
                </c:pt>
                <c:pt idx="21">
                  <c:v>0.3747356</c:v>
                </c:pt>
                <c:pt idx="22">
                  <c:v>0.43464160000000002</c:v>
                </c:pt>
                <c:pt idx="23">
                  <c:v>0.3569001</c:v>
                </c:pt>
                <c:pt idx="24">
                  <c:v>1.8570709999999999</c:v>
                </c:pt>
                <c:pt idx="25">
                  <c:v>3.0126689999999998</c:v>
                </c:pt>
                <c:pt idx="26">
                  <c:v>0.38156299999999999</c:v>
                </c:pt>
                <c:pt idx="27">
                  <c:v>3.0503149999999999</c:v>
                </c:pt>
                <c:pt idx="28">
                  <c:v>1.1630780000000001</c:v>
                </c:pt>
                <c:pt idx="29">
                  <c:v>0.28751979999999999</c:v>
                </c:pt>
                <c:pt idx="30">
                  <c:v>0.32617020000000002</c:v>
                </c:pt>
                <c:pt idx="31">
                  <c:v>0.28734789999999999</c:v>
                </c:pt>
                <c:pt idx="32">
                  <c:v>0.32668069999999999</c:v>
                </c:pt>
                <c:pt idx="33">
                  <c:v>0.25393670000000002</c:v>
                </c:pt>
                <c:pt idx="34">
                  <c:v>0.34870800000000002</c:v>
                </c:pt>
                <c:pt idx="35">
                  <c:v>0.48596450000000002</c:v>
                </c:pt>
                <c:pt idx="36">
                  <c:v>4.8209650000000002</c:v>
                </c:pt>
                <c:pt idx="37">
                  <c:v>0.48694730000000003</c:v>
                </c:pt>
                <c:pt idx="38">
                  <c:v>0.39639679999999999</c:v>
                </c:pt>
                <c:pt idx="39">
                  <c:v>0.40577629999999998</c:v>
                </c:pt>
                <c:pt idx="40">
                  <c:v>0.4455288</c:v>
                </c:pt>
                <c:pt idx="41">
                  <c:v>0.41232429999999998</c:v>
                </c:pt>
                <c:pt idx="42">
                  <c:v>0.49968069999999998</c:v>
                </c:pt>
                <c:pt idx="43">
                  <c:v>0.74057879999999998</c:v>
                </c:pt>
                <c:pt idx="44">
                  <c:v>0.55805729999999998</c:v>
                </c:pt>
                <c:pt idx="45">
                  <c:v>0.49509920000000002</c:v>
                </c:pt>
                <c:pt idx="46">
                  <c:v>0.57102129999999995</c:v>
                </c:pt>
                <c:pt idx="47">
                  <c:v>0.49460290000000001</c:v>
                </c:pt>
                <c:pt idx="48">
                  <c:v>0.56202589999999997</c:v>
                </c:pt>
                <c:pt idx="49">
                  <c:v>0.50338179999999999</c:v>
                </c:pt>
                <c:pt idx="50">
                  <c:v>2.3948749999999999</c:v>
                </c:pt>
                <c:pt idx="51">
                  <c:v>0.55323409999999995</c:v>
                </c:pt>
                <c:pt idx="52">
                  <c:v>0.77475810000000001</c:v>
                </c:pt>
                <c:pt idx="53">
                  <c:v>0.60170610000000002</c:v>
                </c:pt>
                <c:pt idx="54">
                  <c:v>0.50277229999999995</c:v>
                </c:pt>
                <c:pt idx="55">
                  <c:v>0.72096380000000004</c:v>
                </c:pt>
                <c:pt idx="56">
                  <c:v>0.81166769999999999</c:v>
                </c:pt>
                <c:pt idx="57">
                  <c:v>0.84003729999999999</c:v>
                </c:pt>
                <c:pt idx="58">
                  <c:v>0.58681839999999996</c:v>
                </c:pt>
                <c:pt idx="59">
                  <c:v>0.37600309999999998</c:v>
                </c:pt>
                <c:pt idx="60">
                  <c:v>0.65622820000000004</c:v>
                </c:pt>
                <c:pt idx="61">
                  <c:v>0.55521379999999998</c:v>
                </c:pt>
                <c:pt idx="62">
                  <c:v>0.63168650000000004</c:v>
                </c:pt>
                <c:pt idx="63">
                  <c:v>2.0308310000000001</c:v>
                </c:pt>
                <c:pt idx="64">
                  <c:v>0.56897790000000004</c:v>
                </c:pt>
                <c:pt idx="65">
                  <c:v>1.585701</c:v>
                </c:pt>
                <c:pt idx="66">
                  <c:v>0.93649179999999999</c:v>
                </c:pt>
                <c:pt idx="67">
                  <c:v>0.62926369999999998</c:v>
                </c:pt>
                <c:pt idx="68">
                  <c:v>0.59816420000000003</c:v>
                </c:pt>
                <c:pt idx="69">
                  <c:v>0.61634250000000002</c:v>
                </c:pt>
                <c:pt idx="70">
                  <c:v>0.52134659999999999</c:v>
                </c:pt>
                <c:pt idx="71">
                  <c:v>0.64507300000000001</c:v>
                </c:pt>
                <c:pt idx="72">
                  <c:v>0.74048550000000002</c:v>
                </c:pt>
                <c:pt idx="73">
                  <c:v>0.82511959999999995</c:v>
                </c:pt>
                <c:pt idx="74">
                  <c:v>0.50326910000000002</c:v>
                </c:pt>
                <c:pt idx="75">
                  <c:v>0.59548380000000001</c:v>
                </c:pt>
                <c:pt idx="76">
                  <c:v>0.93932669999999996</c:v>
                </c:pt>
                <c:pt idx="77">
                  <c:v>0.59584099999999995</c:v>
                </c:pt>
                <c:pt idx="78">
                  <c:v>0.77471299999999998</c:v>
                </c:pt>
                <c:pt idx="79">
                  <c:v>0.73532600000000004</c:v>
                </c:pt>
                <c:pt idx="80">
                  <c:v>0.96357669999999995</c:v>
                </c:pt>
                <c:pt idx="81">
                  <c:v>1.2272650000000001</c:v>
                </c:pt>
                <c:pt idx="82">
                  <c:v>0.92013080000000003</c:v>
                </c:pt>
                <c:pt idx="83">
                  <c:v>0.87896479999999999</c:v>
                </c:pt>
                <c:pt idx="84">
                  <c:v>0.79562449999999996</c:v>
                </c:pt>
                <c:pt idx="85">
                  <c:v>0.85796910000000004</c:v>
                </c:pt>
                <c:pt idx="86">
                  <c:v>0.75262430000000002</c:v>
                </c:pt>
                <c:pt idx="87">
                  <c:v>0.91325230000000002</c:v>
                </c:pt>
                <c:pt idx="88">
                  <c:v>0.4707538</c:v>
                </c:pt>
                <c:pt idx="89">
                  <c:v>0.65631329999999999</c:v>
                </c:pt>
                <c:pt idx="90">
                  <c:v>0.72464799999999996</c:v>
                </c:pt>
                <c:pt idx="91">
                  <c:v>0.63742699999999997</c:v>
                </c:pt>
                <c:pt idx="92">
                  <c:v>0.79576809999999998</c:v>
                </c:pt>
                <c:pt idx="93">
                  <c:v>0.55509819999999999</c:v>
                </c:pt>
                <c:pt idx="94">
                  <c:v>0.48472009999999999</c:v>
                </c:pt>
                <c:pt idx="95">
                  <c:v>0.50052129999999995</c:v>
                </c:pt>
                <c:pt idx="96">
                  <c:v>0.72208360000000005</c:v>
                </c:pt>
                <c:pt idx="97">
                  <c:v>0.39806200000000003</c:v>
                </c:pt>
                <c:pt idx="98">
                  <c:v>0.30027100000000001</c:v>
                </c:pt>
                <c:pt idx="99">
                  <c:v>0.3534389</c:v>
                </c:pt>
                <c:pt idx="100">
                  <c:v>0.44532749999999999</c:v>
                </c:pt>
                <c:pt idx="101">
                  <c:v>0.65966959999999997</c:v>
                </c:pt>
                <c:pt idx="102">
                  <c:v>0.91185229999999995</c:v>
                </c:pt>
                <c:pt idx="103">
                  <c:v>0.58616140000000005</c:v>
                </c:pt>
                <c:pt idx="104">
                  <c:v>0.67462299999999997</c:v>
                </c:pt>
                <c:pt idx="105">
                  <c:v>0.35775449999999998</c:v>
                </c:pt>
                <c:pt idx="106">
                  <c:v>0.57815640000000001</c:v>
                </c:pt>
                <c:pt idx="107">
                  <c:v>0.48589880000000002</c:v>
                </c:pt>
                <c:pt idx="108">
                  <c:v>0.53736220000000001</c:v>
                </c:pt>
                <c:pt idx="109">
                  <c:v>0.61694070000000001</c:v>
                </c:pt>
                <c:pt idx="110">
                  <c:v>0.77367549999999996</c:v>
                </c:pt>
                <c:pt idx="111">
                  <c:v>0.67229209999999995</c:v>
                </c:pt>
                <c:pt idx="112">
                  <c:v>0.63599749999999999</c:v>
                </c:pt>
                <c:pt idx="113">
                  <c:v>0.55650379999999999</c:v>
                </c:pt>
                <c:pt idx="114">
                  <c:v>0.63473740000000001</c:v>
                </c:pt>
                <c:pt idx="115">
                  <c:v>0.70251350000000001</c:v>
                </c:pt>
                <c:pt idx="116">
                  <c:v>0.74580539999999995</c:v>
                </c:pt>
                <c:pt idx="117">
                  <c:v>0.58728179999999996</c:v>
                </c:pt>
                <c:pt idx="118">
                  <c:v>0.56787989999999999</c:v>
                </c:pt>
                <c:pt idx="119">
                  <c:v>0.4149948</c:v>
                </c:pt>
                <c:pt idx="120">
                  <c:v>0.74336800000000003</c:v>
                </c:pt>
                <c:pt idx="121">
                  <c:v>0.73552360000000006</c:v>
                </c:pt>
                <c:pt idx="122">
                  <c:v>0.67773240000000001</c:v>
                </c:pt>
                <c:pt idx="123">
                  <c:v>0.71970520000000004</c:v>
                </c:pt>
                <c:pt idx="124">
                  <c:v>0.76569290000000001</c:v>
                </c:pt>
                <c:pt idx="125">
                  <c:v>0.49817489999999998</c:v>
                </c:pt>
                <c:pt idx="126">
                  <c:v>0.54556459999999996</c:v>
                </c:pt>
                <c:pt idx="127">
                  <c:v>0.4821897</c:v>
                </c:pt>
                <c:pt idx="128">
                  <c:v>0.54068499999999997</c:v>
                </c:pt>
                <c:pt idx="129">
                  <c:v>0.4811202</c:v>
                </c:pt>
                <c:pt idx="130">
                  <c:v>0.28594170000000002</c:v>
                </c:pt>
                <c:pt idx="131">
                  <c:v>0.56562900000000005</c:v>
                </c:pt>
                <c:pt idx="132">
                  <c:v>0.56800899999999999</c:v>
                </c:pt>
                <c:pt idx="133">
                  <c:v>0.54458949999999995</c:v>
                </c:pt>
                <c:pt idx="134">
                  <c:v>0.4545035</c:v>
                </c:pt>
                <c:pt idx="135">
                  <c:v>0.54377439999999999</c:v>
                </c:pt>
                <c:pt idx="136">
                  <c:v>0.46159250000000002</c:v>
                </c:pt>
                <c:pt idx="137">
                  <c:v>0.64858229999999994</c:v>
                </c:pt>
                <c:pt idx="138">
                  <c:v>0.71402790000000005</c:v>
                </c:pt>
                <c:pt idx="139">
                  <c:v>0.49418990000000002</c:v>
                </c:pt>
                <c:pt idx="140">
                  <c:v>0.61359459999999999</c:v>
                </c:pt>
                <c:pt idx="141">
                  <c:v>0.48698130000000001</c:v>
                </c:pt>
                <c:pt idx="142">
                  <c:v>0.55826589999999998</c:v>
                </c:pt>
                <c:pt idx="143">
                  <c:v>0.48887730000000001</c:v>
                </c:pt>
                <c:pt idx="144">
                  <c:v>0.6321156</c:v>
                </c:pt>
                <c:pt idx="145">
                  <c:v>0.3566127</c:v>
                </c:pt>
                <c:pt idx="146">
                  <c:v>0.51050050000000002</c:v>
                </c:pt>
                <c:pt idx="147">
                  <c:v>0.56692690000000001</c:v>
                </c:pt>
                <c:pt idx="148">
                  <c:v>0.59162380000000003</c:v>
                </c:pt>
                <c:pt idx="149">
                  <c:v>0.61998200000000003</c:v>
                </c:pt>
                <c:pt idx="150">
                  <c:v>0.5657894</c:v>
                </c:pt>
                <c:pt idx="151">
                  <c:v>0.43889420000000001</c:v>
                </c:pt>
                <c:pt idx="152">
                  <c:v>0.59588960000000002</c:v>
                </c:pt>
                <c:pt idx="153">
                  <c:v>0.34496850000000001</c:v>
                </c:pt>
                <c:pt idx="154">
                  <c:v>0.34749600000000003</c:v>
                </c:pt>
                <c:pt idx="155">
                  <c:v>0.36504950000000003</c:v>
                </c:pt>
                <c:pt idx="156">
                  <c:v>0.43026239999999999</c:v>
                </c:pt>
                <c:pt idx="157">
                  <c:v>0.32808749999999998</c:v>
                </c:pt>
                <c:pt idx="158">
                  <c:v>0.34838910000000001</c:v>
                </c:pt>
                <c:pt idx="159">
                  <c:v>0.24257709999999999</c:v>
                </c:pt>
                <c:pt idx="160">
                  <c:v>0.31557429999999997</c:v>
                </c:pt>
                <c:pt idx="161">
                  <c:v>0.32593499999999997</c:v>
                </c:pt>
                <c:pt idx="162">
                  <c:v>0.31039499999999998</c:v>
                </c:pt>
                <c:pt idx="163">
                  <c:v>0.47616979999999998</c:v>
                </c:pt>
                <c:pt idx="164">
                  <c:v>0.34411069999999999</c:v>
                </c:pt>
                <c:pt idx="165">
                  <c:v>0.48231010000000002</c:v>
                </c:pt>
                <c:pt idx="166">
                  <c:v>0.46654109999999999</c:v>
                </c:pt>
                <c:pt idx="167">
                  <c:v>0.60618939999999999</c:v>
                </c:pt>
                <c:pt idx="168">
                  <c:v>0.49732140000000002</c:v>
                </c:pt>
                <c:pt idx="169">
                  <c:v>0.51759379999999999</c:v>
                </c:pt>
                <c:pt idx="170">
                  <c:v>0.70175310000000002</c:v>
                </c:pt>
                <c:pt idx="171">
                  <c:v>0.62786169999999997</c:v>
                </c:pt>
                <c:pt idx="172">
                  <c:v>0.44835970000000003</c:v>
                </c:pt>
                <c:pt idx="173">
                  <c:v>0.71626179999999995</c:v>
                </c:pt>
                <c:pt idx="174">
                  <c:v>0.5632028</c:v>
                </c:pt>
                <c:pt idx="175">
                  <c:v>1.0194160000000001</c:v>
                </c:pt>
                <c:pt idx="176">
                  <c:v>1.108447</c:v>
                </c:pt>
                <c:pt idx="177">
                  <c:v>1.259234</c:v>
                </c:pt>
                <c:pt idx="178">
                  <c:v>0.83648069999999997</c:v>
                </c:pt>
                <c:pt idx="179">
                  <c:v>1.6724289999999999</c:v>
                </c:pt>
                <c:pt idx="180">
                  <c:v>1.1519729999999999</c:v>
                </c:pt>
                <c:pt idx="181">
                  <c:v>0.78661300000000001</c:v>
                </c:pt>
                <c:pt idx="182">
                  <c:v>1.2415799999999999</c:v>
                </c:pt>
                <c:pt idx="183">
                  <c:v>0.93793090000000001</c:v>
                </c:pt>
                <c:pt idx="184">
                  <c:v>0.66817839999999995</c:v>
                </c:pt>
                <c:pt idx="185">
                  <c:v>0.72737790000000002</c:v>
                </c:pt>
                <c:pt idx="186">
                  <c:v>0.54428710000000002</c:v>
                </c:pt>
                <c:pt idx="187">
                  <c:v>0.64993480000000003</c:v>
                </c:pt>
                <c:pt idx="188">
                  <c:v>0.4961063</c:v>
                </c:pt>
                <c:pt idx="189">
                  <c:v>0.43349300000000002</c:v>
                </c:pt>
                <c:pt idx="190">
                  <c:v>0.62934780000000001</c:v>
                </c:pt>
                <c:pt idx="191">
                  <c:v>0.62060700000000002</c:v>
                </c:pt>
                <c:pt idx="192">
                  <c:v>0.60621139999999996</c:v>
                </c:pt>
                <c:pt idx="193">
                  <c:v>0.61473580000000005</c:v>
                </c:pt>
                <c:pt idx="194">
                  <c:v>0.57814719999999997</c:v>
                </c:pt>
                <c:pt idx="195">
                  <c:v>0.50904559999999999</c:v>
                </c:pt>
                <c:pt idx="196">
                  <c:v>1.090255</c:v>
                </c:pt>
                <c:pt idx="197">
                  <c:v>0.71950769999999997</c:v>
                </c:pt>
                <c:pt idx="198">
                  <c:v>0.65262379999999998</c:v>
                </c:pt>
                <c:pt idx="199">
                  <c:v>0.6310926</c:v>
                </c:pt>
                <c:pt idx="200">
                  <c:v>0.59888560000000002</c:v>
                </c:pt>
                <c:pt idx="201">
                  <c:v>0.66394169999999997</c:v>
                </c:pt>
                <c:pt idx="202">
                  <c:v>0.84859640000000003</c:v>
                </c:pt>
                <c:pt idx="203">
                  <c:v>0.63460349999999999</c:v>
                </c:pt>
                <c:pt idx="204">
                  <c:v>0.80661280000000002</c:v>
                </c:pt>
                <c:pt idx="205">
                  <c:v>0.45973340000000001</c:v>
                </c:pt>
                <c:pt idx="206">
                  <c:v>0.52561769999999997</c:v>
                </c:pt>
                <c:pt idx="207">
                  <c:v>0.60345369999999998</c:v>
                </c:pt>
                <c:pt idx="208">
                  <c:v>0.8109594</c:v>
                </c:pt>
                <c:pt idx="209">
                  <c:v>0.72097259999999996</c:v>
                </c:pt>
                <c:pt idx="210">
                  <c:v>0.69406270000000003</c:v>
                </c:pt>
                <c:pt idx="211">
                  <c:v>0.74124939999999995</c:v>
                </c:pt>
                <c:pt idx="212">
                  <c:v>0.68132329999999997</c:v>
                </c:pt>
                <c:pt idx="213">
                  <c:v>0.66339170000000003</c:v>
                </c:pt>
                <c:pt idx="214">
                  <c:v>0.90922049999999999</c:v>
                </c:pt>
                <c:pt idx="215">
                  <c:v>0.52437210000000001</c:v>
                </c:pt>
                <c:pt idx="216">
                  <c:v>0.64733169999999995</c:v>
                </c:pt>
                <c:pt idx="217">
                  <c:v>0.67112830000000001</c:v>
                </c:pt>
                <c:pt idx="218">
                  <c:v>0.4954559</c:v>
                </c:pt>
                <c:pt idx="219">
                  <c:v>0.41238209999999997</c:v>
                </c:pt>
                <c:pt idx="220">
                  <c:v>0.37729950000000001</c:v>
                </c:pt>
                <c:pt idx="221">
                  <c:v>0.62471840000000001</c:v>
                </c:pt>
                <c:pt idx="222">
                  <c:v>0.53785369999999999</c:v>
                </c:pt>
                <c:pt idx="223">
                  <c:v>0.52625820000000001</c:v>
                </c:pt>
                <c:pt idx="224">
                  <c:v>0.50478080000000003</c:v>
                </c:pt>
                <c:pt idx="225">
                  <c:v>0.40769939999999999</c:v>
                </c:pt>
                <c:pt idx="226">
                  <c:v>0.41830919999999999</c:v>
                </c:pt>
                <c:pt idx="227">
                  <c:v>0.47379500000000002</c:v>
                </c:pt>
                <c:pt idx="228">
                  <c:v>0.51401450000000004</c:v>
                </c:pt>
                <c:pt idx="229">
                  <c:v>0.76471750000000005</c:v>
                </c:pt>
                <c:pt idx="230">
                  <c:v>0.51246150000000001</c:v>
                </c:pt>
                <c:pt idx="231">
                  <c:v>0.47009230000000002</c:v>
                </c:pt>
                <c:pt idx="232">
                  <c:v>0.42240939999999999</c:v>
                </c:pt>
                <c:pt idx="233">
                  <c:v>0.55287889999999995</c:v>
                </c:pt>
                <c:pt idx="234">
                  <c:v>0.51464650000000001</c:v>
                </c:pt>
                <c:pt idx="235">
                  <c:v>0.34975719999999999</c:v>
                </c:pt>
                <c:pt idx="236">
                  <c:v>0.41311680000000001</c:v>
                </c:pt>
                <c:pt idx="237">
                  <c:v>0.37375930000000002</c:v>
                </c:pt>
                <c:pt idx="238">
                  <c:v>0.41881279999999999</c:v>
                </c:pt>
                <c:pt idx="239">
                  <c:v>0.33248420000000001</c:v>
                </c:pt>
                <c:pt idx="240">
                  <c:v>0.33168730000000002</c:v>
                </c:pt>
                <c:pt idx="241">
                  <c:v>0.43585659999999998</c:v>
                </c:pt>
                <c:pt idx="242">
                  <c:v>0.41033629999999999</c:v>
                </c:pt>
                <c:pt idx="243">
                  <c:v>0.24144180000000001</c:v>
                </c:pt>
                <c:pt idx="244">
                  <c:v>0.33689279999999999</c:v>
                </c:pt>
                <c:pt idx="245">
                  <c:v>0.26927869999999998</c:v>
                </c:pt>
                <c:pt idx="246">
                  <c:v>0.1857058</c:v>
                </c:pt>
                <c:pt idx="247">
                  <c:v>0.21462000000000001</c:v>
                </c:pt>
                <c:pt idx="248">
                  <c:v>0.40772570000000002</c:v>
                </c:pt>
                <c:pt idx="249">
                  <c:v>0.5006948</c:v>
                </c:pt>
                <c:pt idx="250">
                  <c:v>0.43225259999999999</c:v>
                </c:pt>
                <c:pt idx="251">
                  <c:v>0.51042129999999997</c:v>
                </c:pt>
                <c:pt idx="252">
                  <c:v>0.88806850000000004</c:v>
                </c:pt>
                <c:pt idx="253">
                  <c:v>0.5105324</c:v>
                </c:pt>
                <c:pt idx="254">
                  <c:v>0.7295703</c:v>
                </c:pt>
                <c:pt idx="255">
                  <c:v>0.78853130000000005</c:v>
                </c:pt>
                <c:pt idx="256">
                  <c:v>0.91319280000000003</c:v>
                </c:pt>
                <c:pt idx="257">
                  <c:v>0.7353866</c:v>
                </c:pt>
                <c:pt idx="258">
                  <c:v>0.72001289999999996</c:v>
                </c:pt>
                <c:pt idx="259">
                  <c:v>0.74868630000000003</c:v>
                </c:pt>
                <c:pt idx="260">
                  <c:v>0.62490970000000001</c:v>
                </c:pt>
                <c:pt idx="261">
                  <c:v>0.67207799999999995</c:v>
                </c:pt>
                <c:pt idx="262">
                  <c:v>0.34161219999999998</c:v>
                </c:pt>
                <c:pt idx="263">
                  <c:v>0.61369569999999996</c:v>
                </c:pt>
                <c:pt idx="264">
                  <c:v>0.51590320000000001</c:v>
                </c:pt>
                <c:pt idx="265">
                  <c:v>0.79232729999999996</c:v>
                </c:pt>
                <c:pt idx="266">
                  <c:v>0.78225909999999999</c:v>
                </c:pt>
                <c:pt idx="267">
                  <c:v>0.37604520000000002</c:v>
                </c:pt>
                <c:pt idx="268">
                  <c:v>0.39546140000000002</c:v>
                </c:pt>
                <c:pt idx="269">
                  <c:v>0.83987820000000002</c:v>
                </c:pt>
                <c:pt idx="270">
                  <c:v>0.38346439999999998</c:v>
                </c:pt>
                <c:pt idx="271">
                  <c:v>0.4996025</c:v>
                </c:pt>
                <c:pt idx="272">
                  <c:v>0.39172099999999999</c:v>
                </c:pt>
                <c:pt idx="273">
                  <c:v>0.39844619999999997</c:v>
                </c:pt>
                <c:pt idx="274">
                  <c:v>0.50602340000000001</c:v>
                </c:pt>
                <c:pt idx="275">
                  <c:v>0.71624730000000003</c:v>
                </c:pt>
                <c:pt idx="276">
                  <c:v>0.64435089999999995</c:v>
                </c:pt>
                <c:pt idx="277">
                  <c:v>0.42565740000000002</c:v>
                </c:pt>
                <c:pt idx="278">
                  <c:v>0.4500112</c:v>
                </c:pt>
                <c:pt idx="279">
                  <c:v>0.42336170000000001</c:v>
                </c:pt>
                <c:pt idx="280">
                  <c:v>0.35150969999999998</c:v>
                </c:pt>
                <c:pt idx="281">
                  <c:v>0.3418215</c:v>
                </c:pt>
                <c:pt idx="282">
                  <c:v>0.45980510000000002</c:v>
                </c:pt>
                <c:pt idx="283">
                  <c:v>0.510486</c:v>
                </c:pt>
                <c:pt idx="284">
                  <c:v>0.53311059999999999</c:v>
                </c:pt>
                <c:pt idx="285">
                  <c:v>0.43738290000000002</c:v>
                </c:pt>
                <c:pt idx="286">
                  <c:v>0.45429789999999998</c:v>
                </c:pt>
                <c:pt idx="287">
                  <c:v>0.33489010000000002</c:v>
                </c:pt>
                <c:pt idx="288">
                  <c:v>0.47327802230644728</c:v>
                </c:pt>
                <c:pt idx="289">
                  <c:v>0.50634622640508531</c:v>
                </c:pt>
                <c:pt idx="290">
                  <c:v>0.47575795959274109</c:v>
                </c:pt>
                <c:pt idx="291">
                  <c:v>0.35935147601220568</c:v>
                </c:pt>
                <c:pt idx="292">
                  <c:v>0.47637307531014711</c:v>
                </c:pt>
                <c:pt idx="293">
                  <c:v>0.56090664356965603</c:v>
                </c:pt>
                <c:pt idx="294">
                  <c:v>0.46836061808805257</c:v>
                </c:pt>
                <c:pt idx="295">
                  <c:v>0.49688790340495781</c:v>
                </c:pt>
                <c:pt idx="296">
                  <c:v>0.42914047059360888</c:v>
                </c:pt>
                <c:pt idx="297">
                  <c:v>0.3747995308013749</c:v>
                </c:pt>
                <c:pt idx="298">
                  <c:v>0.46540848144595798</c:v>
                </c:pt>
                <c:pt idx="299">
                  <c:v>0.39212775950571477</c:v>
                </c:pt>
                <c:pt idx="300">
                  <c:v>0.35274618177297379</c:v>
                </c:pt>
                <c:pt idx="301">
                  <c:v>0.27896245431573591</c:v>
                </c:pt>
                <c:pt idx="302">
                  <c:v>0.29962474648887422</c:v>
                </c:pt>
                <c:pt idx="303">
                  <c:v>0.33143890549205979</c:v>
                </c:pt>
                <c:pt idx="304">
                  <c:v>0.24471993094618538</c:v>
                </c:pt>
                <c:pt idx="305">
                  <c:v>0.34460618609704552</c:v>
                </c:pt>
                <c:pt idx="306">
                  <c:v>0.25262708156932495</c:v>
                </c:pt>
                <c:pt idx="307">
                  <c:v>0.41915333069274791</c:v>
                </c:pt>
                <c:pt idx="308">
                  <c:v>0.44306296251683513</c:v>
                </c:pt>
                <c:pt idx="309">
                  <c:v>0.25484499168962799</c:v>
                </c:pt>
                <c:pt idx="310">
                  <c:v>0.2301250087992486</c:v>
                </c:pt>
                <c:pt idx="311">
                  <c:v>0.27326824135198569</c:v>
                </c:pt>
                <c:pt idx="312">
                  <c:v>0.26629529438448807</c:v>
                </c:pt>
                <c:pt idx="313">
                  <c:v>0.2910260466304232</c:v>
                </c:pt>
                <c:pt idx="314">
                  <c:v>0.87050498894628536</c:v>
                </c:pt>
                <c:pt idx="315">
                  <c:v>0.479282462679128</c:v>
                </c:pt>
                <c:pt idx="316">
                  <c:v>0.54437732630149949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A-4C4A-A002-989C2AA1C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799232"/>
        <c:axId val="1979801472"/>
      </c:lineChart>
      <c:catAx>
        <c:axId val="197979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9801472"/>
        <c:crosses val="autoZero"/>
        <c:auto val="1"/>
        <c:lblAlgn val="ctr"/>
        <c:lblOffset val="100"/>
        <c:noMultiLvlLbl val="0"/>
      </c:catAx>
      <c:valAx>
        <c:axId val="19798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979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Diff (New</a:t>
            </a:r>
            <a:r>
              <a:rPr lang="it-IT" baseline="0"/>
              <a:t> - Old)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'Greece Ex Rate'!$N$6:$N$322</c:f>
              <c:numCache>
                <c:formatCode>General</c:formatCode>
                <c:ptCount val="317"/>
                <c:pt idx="0">
                  <c:v>-1.2436270541176131E-2</c:v>
                </c:pt>
                <c:pt idx="1">
                  <c:v>7.5206942714196867E-2</c:v>
                </c:pt>
                <c:pt idx="2">
                  <c:v>5.4141555351017501E-2</c:v>
                </c:pt>
                <c:pt idx="3">
                  <c:v>0.10387533651894976</c:v>
                </c:pt>
                <c:pt idx="4">
                  <c:v>2.6231873093336966E-2</c:v>
                </c:pt>
                <c:pt idx="5">
                  <c:v>-5.1874853659068965E-2</c:v>
                </c:pt>
                <c:pt idx="6">
                  <c:v>-2.1194467440247333E-2</c:v>
                </c:pt>
                <c:pt idx="7">
                  <c:v>-2.4149379437091167E-2</c:v>
                </c:pt>
                <c:pt idx="8">
                  <c:v>4.1326024100783232E-2</c:v>
                </c:pt>
                <c:pt idx="9">
                  <c:v>-7.8771751618008645E-2</c:v>
                </c:pt>
                <c:pt idx="10">
                  <c:v>3.2290009624471372E-2</c:v>
                </c:pt>
                <c:pt idx="11">
                  <c:v>6.3252147739470133E-2</c:v>
                </c:pt>
                <c:pt idx="12">
                  <c:v>-9.5131532575143396E-4</c:v>
                </c:pt>
                <c:pt idx="13">
                  <c:v>-4.118594324894953E-2</c:v>
                </c:pt>
                <c:pt idx="14">
                  <c:v>0.1044319421251434</c:v>
                </c:pt>
                <c:pt idx="15">
                  <c:v>-6.9031945285050078E-2</c:v>
                </c:pt>
                <c:pt idx="16">
                  <c:v>-7.2666442795544128E-2</c:v>
                </c:pt>
                <c:pt idx="17">
                  <c:v>0.13483227371668305</c:v>
                </c:pt>
                <c:pt idx="18">
                  <c:v>-7.1004117713634407E-2</c:v>
                </c:pt>
                <c:pt idx="19">
                  <c:v>0.17935488223787255</c:v>
                </c:pt>
                <c:pt idx="20">
                  <c:v>3.7532525889144575E-2</c:v>
                </c:pt>
                <c:pt idx="21">
                  <c:v>3.164101715828449E-2</c:v>
                </c:pt>
                <c:pt idx="22">
                  <c:v>-0.10286661689874083</c:v>
                </c:pt>
                <c:pt idx="23">
                  <c:v>-5.0582300524004475E-2</c:v>
                </c:pt>
                <c:pt idx="24">
                  <c:v>-0.55074760779858201</c:v>
                </c:pt>
                <c:pt idx="25">
                  <c:v>-2.6595738005811147</c:v>
                </c:pt>
                <c:pt idx="26">
                  <c:v>1.5828461290511131E-2</c:v>
                </c:pt>
                <c:pt idx="27">
                  <c:v>-0.95962581333571384</c:v>
                </c:pt>
                <c:pt idx="28">
                  <c:v>6.224793382654914E-3</c:v>
                </c:pt>
                <c:pt idx="29">
                  <c:v>-3.8863584543519486E-2</c:v>
                </c:pt>
                <c:pt idx="30">
                  <c:v>-2.4527933313206796E-2</c:v>
                </c:pt>
                <c:pt idx="31">
                  <c:v>9.3532878678080356E-3</c:v>
                </c:pt>
                <c:pt idx="32">
                  <c:v>-4.7360911622327806E-3</c:v>
                </c:pt>
                <c:pt idx="33">
                  <c:v>-1.329900301450021E-2</c:v>
                </c:pt>
                <c:pt idx="34">
                  <c:v>-3.7317671842408029E-2</c:v>
                </c:pt>
                <c:pt idx="35">
                  <c:v>3.9434815342184737E-3</c:v>
                </c:pt>
                <c:pt idx="36">
                  <c:v>-4.2156818700870211</c:v>
                </c:pt>
                <c:pt idx="37">
                  <c:v>-3.6765509526097917E-2</c:v>
                </c:pt>
                <c:pt idx="38">
                  <c:v>-5.4916833140607579E-2</c:v>
                </c:pt>
                <c:pt idx="39">
                  <c:v>1.556568817843984E-2</c:v>
                </c:pt>
                <c:pt idx="40">
                  <c:v>5.3229508137478954E-3</c:v>
                </c:pt>
                <c:pt idx="41">
                  <c:v>7.0858329102450046E-2</c:v>
                </c:pt>
                <c:pt idx="42">
                  <c:v>1.0311784463297724E-2</c:v>
                </c:pt>
                <c:pt idx="43">
                  <c:v>2.3488692790710752E-2</c:v>
                </c:pt>
                <c:pt idx="44">
                  <c:v>6.66194757357923E-2</c:v>
                </c:pt>
                <c:pt idx="45">
                  <c:v>0.10430921152662281</c:v>
                </c:pt>
                <c:pt idx="46">
                  <c:v>-4.2239748290671009E-2</c:v>
                </c:pt>
                <c:pt idx="47">
                  <c:v>-6.7288725774204639E-2</c:v>
                </c:pt>
                <c:pt idx="48">
                  <c:v>2.0383906918930106E-2</c:v>
                </c:pt>
                <c:pt idx="49">
                  <c:v>-1.3383461673597774E-2</c:v>
                </c:pt>
                <c:pt idx="50">
                  <c:v>-0.57375239176593595</c:v>
                </c:pt>
                <c:pt idx="51">
                  <c:v>2.5789343225260497E-2</c:v>
                </c:pt>
                <c:pt idx="52">
                  <c:v>-0.22074863651942678</c:v>
                </c:pt>
                <c:pt idx="53">
                  <c:v>1.6858112355990884E-2</c:v>
                </c:pt>
                <c:pt idx="54">
                  <c:v>-1.4484232772179362E-2</c:v>
                </c:pt>
                <c:pt idx="55">
                  <c:v>-6.9440210502270228E-2</c:v>
                </c:pt>
                <c:pt idx="56">
                  <c:v>-5.889711618136706E-2</c:v>
                </c:pt>
                <c:pt idx="57">
                  <c:v>-0.16829805661442676</c:v>
                </c:pt>
                <c:pt idx="58">
                  <c:v>4.84683305396999E-2</c:v>
                </c:pt>
                <c:pt idx="59">
                  <c:v>-2.3449380948661558E-2</c:v>
                </c:pt>
                <c:pt idx="60">
                  <c:v>-0.11601337995194527</c:v>
                </c:pt>
                <c:pt idx="61">
                  <c:v>6.7525742408140021E-2</c:v>
                </c:pt>
                <c:pt idx="62">
                  <c:v>6.1581966417604828E-2</c:v>
                </c:pt>
                <c:pt idx="63">
                  <c:v>-0.53125665695574797</c:v>
                </c:pt>
                <c:pt idx="64">
                  <c:v>-7.2286746396237833E-2</c:v>
                </c:pt>
                <c:pt idx="65">
                  <c:v>-0.27092603333846399</c:v>
                </c:pt>
                <c:pt idx="66">
                  <c:v>1.1580318902545295E-2</c:v>
                </c:pt>
                <c:pt idx="67">
                  <c:v>-8.7434405821302796E-3</c:v>
                </c:pt>
                <c:pt idx="68">
                  <c:v>-7.7114858538476994E-2</c:v>
                </c:pt>
                <c:pt idx="69">
                  <c:v>1.4276790116621307E-2</c:v>
                </c:pt>
                <c:pt idx="70">
                  <c:v>-0.14296029640167979</c:v>
                </c:pt>
                <c:pt idx="71">
                  <c:v>9.5852009616865019E-2</c:v>
                </c:pt>
                <c:pt idx="72">
                  <c:v>1.8476903419120894E-2</c:v>
                </c:pt>
                <c:pt idx="73">
                  <c:v>-3.7375554784464748E-2</c:v>
                </c:pt>
                <c:pt idx="74">
                  <c:v>-3.7087040878039601E-2</c:v>
                </c:pt>
                <c:pt idx="75">
                  <c:v>-0.17641536397295493</c:v>
                </c:pt>
                <c:pt idx="76">
                  <c:v>-9.2356343298523047E-3</c:v>
                </c:pt>
                <c:pt idx="77">
                  <c:v>8.3419096533541293E-2</c:v>
                </c:pt>
                <c:pt idx="78">
                  <c:v>-4.9030962610507101E-2</c:v>
                </c:pt>
                <c:pt idx="79">
                  <c:v>-8.2014885992167996E-2</c:v>
                </c:pt>
                <c:pt idx="80">
                  <c:v>4.2932418054015153E-2</c:v>
                </c:pt>
                <c:pt idx="81">
                  <c:v>1.1586939415761055E-2</c:v>
                </c:pt>
                <c:pt idx="82">
                  <c:v>-0.15232866624544006</c:v>
                </c:pt>
                <c:pt idx="83">
                  <c:v>9.0389863967100803E-3</c:v>
                </c:pt>
                <c:pt idx="84">
                  <c:v>6.9644951246420783E-2</c:v>
                </c:pt>
                <c:pt idx="85">
                  <c:v>5.0782484125846516E-2</c:v>
                </c:pt>
                <c:pt idx="86">
                  <c:v>-3.9344751410721579E-2</c:v>
                </c:pt>
                <c:pt idx="87">
                  <c:v>1.9201337392375617E-2</c:v>
                </c:pt>
                <c:pt idx="88">
                  <c:v>6.4025333431971476E-2</c:v>
                </c:pt>
                <c:pt idx="89">
                  <c:v>-5.5607300020613315E-2</c:v>
                </c:pt>
                <c:pt idx="90">
                  <c:v>8.1367593310111674E-2</c:v>
                </c:pt>
                <c:pt idx="91">
                  <c:v>-9.6442200490249652E-2</c:v>
                </c:pt>
                <c:pt idx="92">
                  <c:v>1.369809310762049E-2</c:v>
                </c:pt>
                <c:pt idx="93">
                  <c:v>4.1066972939035273E-2</c:v>
                </c:pt>
                <c:pt idx="94">
                  <c:v>0.1130416596360625</c:v>
                </c:pt>
                <c:pt idx="95">
                  <c:v>-2.7723486518075324E-2</c:v>
                </c:pt>
                <c:pt idx="96">
                  <c:v>-0.14120194083685988</c:v>
                </c:pt>
                <c:pt idx="97">
                  <c:v>-4.4429756186926128E-3</c:v>
                </c:pt>
                <c:pt idx="98">
                  <c:v>3.6774958069288266E-2</c:v>
                </c:pt>
                <c:pt idx="99">
                  <c:v>-6.7685251176718975E-4</c:v>
                </c:pt>
                <c:pt idx="100">
                  <c:v>3.0348279106616416E-2</c:v>
                </c:pt>
                <c:pt idx="101">
                  <c:v>-1.3981296479933736E-2</c:v>
                </c:pt>
                <c:pt idx="102">
                  <c:v>4.5558425018764726E-2</c:v>
                </c:pt>
                <c:pt idx="103">
                  <c:v>-5.6550395067401338E-2</c:v>
                </c:pt>
                <c:pt idx="104">
                  <c:v>-0.11172631717190606</c:v>
                </c:pt>
                <c:pt idx="105">
                  <c:v>1.5323816438590043E-2</c:v>
                </c:pt>
                <c:pt idx="106">
                  <c:v>-0.14189180197075479</c:v>
                </c:pt>
                <c:pt idx="107">
                  <c:v>2.7290039653325993E-3</c:v>
                </c:pt>
                <c:pt idx="108">
                  <c:v>-3.8252637375013387E-2</c:v>
                </c:pt>
                <c:pt idx="109">
                  <c:v>-5.0810594272373777E-2</c:v>
                </c:pt>
                <c:pt idx="110">
                  <c:v>-0.14886478831664129</c:v>
                </c:pt>
                <c:pt idx="111">
                  <c:v>-1.6027756233518153E-2</c:v>
                </c:pt>
                <c:pt idx="112">
                  <c:v>-3.5477955394207061E-2</c:v>
                </c:pt>
                <c:pt idx="113">
                  <c:v>0.12174023577752269</c:v>
                </c:pt>
                <c:pt idx="114">
                  <c:v>-4.0247556177252397E-2</c:v>
                </c:pt>
                <c:pt idx="115">
                  <c:v>-9.6325154257916212E-2</c:v>
                </c:pt>
                <c:pt idx="116">
                  <c:v>-8.8201578626400545E-2</c:v>
                </c:pt>
                <c:pt idx="117">
                  <c:v>-1.8755272653528166E-2</c:v>
                </c:pt>
                <c:pt idx="118">
                  <c:v>-0.1059349420505139</c:v>
                </c:pt>
                <c:pt idx="119">
                  <c:v>4.9631676254343782E-2</c:v>
                </c:pt>
                <c:pt idx="120">
                  <c:v>1.7133570312372726E-2</c:v>
                </c:pt>
                <c:pt idx="121">
                  <c:v>-7.569538952896171E-2</c:v>
                </c:pt>
                <c:pt idx="122">
                  <c:v>-3.5103487747447537E-2</c:v>
                </c:pt>
                <c:pt idx="123">
                  <c:v>5.9525931124154052E-2</c:v>
                </c:pt>
                <c:pt idx="124">
                  <c:v>-1.3003124883644523E-2</c:v>
                </c:pt>
                <c:pt idx="125">
                  <c:v>1.1837543154318286E-3</c:v>
                </c:pt>
                <c:pt idx="126">
                  <c:v>-1.596828648409343E-2</c:v>
                </c:pt>
                <c:pt idx="127">
                  <c:v>2.0208991384503106E-2</c:v>
                </c:pt>
                <c:pt idx="128">
                  <c:v>5.881053799937086E-3</c:v>
                </c:pt>
                <c:pt idx="129">
                  <c:v>-1.6234507847587676E-2</c:v>
                </c:pt>
                <c:pt idx="130">
                  <c:v>1.6376787744365462E-4</c:v>
                </c:pt>
                <c:pt idx="131">
                  <c:v>3.7102919306522542E-2</c:v>
                </c:pt>
                <c:pt idx="132">
                  <c:v>8.9090786977645942E-2</c:v>
                </c:pt>
                <c:pt idx="133">
                  <c:v>-6.6920483849591428E-2</c:v>
                </c:pt>
                <c:pt idx="134">
                  <c:v>-5.1104642193789962E-3</c:v>
                </c:pt>
                <c:pt idx="135">
                  <c:v>2.4424733823193545E-2</c:v>
                </c:pt>
                <c:pt idx="136">
                  <c:v>4.0095753685316649E-2</c:v>
                </c:pt>
                <c:pt idx="137">
                  <c:v>-0.18060990556148282</c:v>
                </c:pt>
                <c:pt idx="138">
                  <c:v>-8.2865962859441145E-2</c:v>
                </c:pt>
                <c:pt idx="139">
                  <c:v>4.2260088586346667E-3</c:v>
                </c:pt>
                <c:pt idx="140">
                  <c:v>1.7841732192818704E-2</c:v>
                </c:pt>
                <c:pt idx="141">
                  <c:v>0.18710952469513392</c:v>
                </c:pt>
                <c:pt idx="142">
                  <c:v>-5.8123472500745121E-3</c:v>
                </c:pt>
                <c:pt idx="143">
                  <c:v>8.5020683792367824E-3</c:v>
                </c:pt>
                <c:pt idx="144">
                  <c:v>-0.10689558189518411</c:v>
                </c:pt>
                <c:pt idx="145">
                  <c:v>1.5185019038276681E-2</c:v>
                </c:pt>
                <c:pt idx="146">
                  <c:v>7.4345496737758587E-2</c:v>
                </c:pt>
                <c:pt idx="147">
                  <c:v>-3.3918374632203041E-2</c:v>
                </c:pt>
                <c:pt idx="148">
                  <c:v>-6.377157862126337E-2</c:v>
                </c:pt>
                <c:pt idx="149">
                  <c:v>3.9597253062726878E-2</c:v>
                </c:pt>
                <c:pt idx="150">
                  <c:v>4.033842284393141E-2</c:v>
                </c:pt>
                <c:pt idx="151">
                  <c:v>7.9650751749618776E-2</c:v>
                </c:pt>
                <c:pt idx="152">
                  <c:v>1.4738612941667117E-3</c:v>
                </c:pt>
                <c:pt idx="153">
                  <c:v>3.1634972386594795E-2</c:v>
                </c:pt>
                <c:pt idx="154">
                  <c:v>-5.1349461273383357E-3</c:v>
                </c:pt>
                <c:pt idx="155">
                  <c:v>-1.2900349991775417E-2</c:v>
                </c:pt>
                <c:pt idx="156">
                  <c:v>-1.2417834460554111E-3</c:v>
                </c:pt>
                <c:pt idx="157">
                  <c:v>3.2572989040557443E-2</c:v>
                </c:pt>
                <c:pt idx="158">
                  <c:v>-5.893965949648361E-2</c:v>
                </c:pt>
                <c:pt idx="159">
                  <c:v>4.7270650106615408E-2</c:v>
                </c:pt>
                <c:pt idx="160">
                  <c:v>-3.6011057326161833E-3</c:v>
                </c:pt>
                <c:pt idx="161">
                  <c:v>9.2445389310652493E-3</c:v>
                </c:pt>
                <c:pt idx="162">
                  <c:v>2.4982407801926898E-2</c:v>
                </c:pt>
                <c:pt idx="163">
                  <c:v>-2.6302118311796796E-2</c:v>
                </c:pt>
                <c:pt idx="164">
                  <c:v>-4.779075807728389E-2</c:v>
                </c:pt>
                <c:pt idx="165">
                  <c:v>-1.0622385410913426E-2</c:v>
                </c:pt>
                <c:pt idx="166">
                  <c:v>3.0324396559983091E-4</c:v>
                </c:pt>
                <c:pt idx="167">
                  <c:v>-3.456580576249646E-2</c:v>
                </c:pt>
                <c:pt idx="168">
                  <c:v>-2.0537123050965722E-2</c:v>
                </c:pt>
                <c:pt idx="169">
                  <c:v>-5.257560586270571E-2</c:v>
                </c:pt>
                <c:pt idx="170">
                  <c:v>-3.6631206716209785E-2</c:v>
                </c:pt>
                <c:pt idx="171">
                  <c:v>6.0793179602389724E-2</c:v>
                </c:pt>
                <c:pt idx="172">
                  <c:v>3.9218659428858549E-2</c:v>
                </c:pt>
                <c:pt idx="173">
                  <c:v>-6.1002041641563531E-3</c:v>
                </c:pt>
                <c:pt idx="174">
                  <c:v>-5.6195437132142145E-2</c:v>
                </c:pt>
                <c:pt idx="175">
                  <c:v>-7.314830781794901E-2</c:v>
                </c:pt>
                <c:pt idx="176">
                  <c:v>-0.19070607009124751</c:v>
                </c:pt>
                <c:pt idx="177">
                  <c:v>0.110954385672412</c:v>
                </c:pt>
                <c:pt idx="178">
                  <c:v>0.22889747592286003</c:v>
                </c:pt>
                <c:pt idx="179">
                  <c:v>-1.5362768257118908E-2</c:v>
                </c:pt>
                <c:pt idx="180">
                  <c:v>4.6537974070030019E-2</c:v>
                </c:pt>
                <c:pt idx="181">
                  <c:v>3.1514669218020597E-2</c:v>
                </c:pt>
                <c:pt idx="182">
                  <c:v>5.084623328529414E-2</c:v>
                </c:pt>
                <c:pt idx="183">
                  <c:v>-4.1650016484833685E-2</c:v>
                </c:pt>
                <c:pt idx="184">
                  <c:v>-1.2149946845826043E-2</c:v>
                </c:pt>
                <c:pt idx="185">
                  <c:v>-6.8319900635200881E-3</c:v>
                </c:pt>
                <c:pt idx="186">
                  <c:v>-1.1755935334448853E-2</c:v>
                </c:pt>
                <c:pt idx="187">
                  <c:v>9.3695877058500354E-2</c:v>
                </c:pt>
                <c:pt idx="188">
                  <c:v>-4.6227756415845589E-2</c:v>
                </c:pt>
                <c:pt idx="189">
                  <c:v>5.8119569169498009E-3</c:v>
                </c:pt>
                <c:pt idx="190">
                  <c:v>-1.3622379715355404E-2</c:v>
                </c:pt>
                <c:pt idx="191">
                  <c:v>-0.13354685629106661</c:v>
                </c:pt>
                <c:pt idx="192">
                  <c:v>-7.1335505909514541E-2</c:v>
                </c:pt>
                <c:pt idx="193">
                  <c:v>-1.395125477768433E-2</c:v>
                </c:pt>
                <c:pt idx="194">
                  <c:v>3.4551813306024082E-2</c:v>
                </c:pt>
                <c:pt idx="195">
                  <c:v>6.249833990832232E-3</c:v>
                </c:pt>
                <c:pt idx="196">
                  <c:v>-3.2063528665269958E-2</c:v>
                </c:pt>
                <c:pt idx="197">
                  <c:v>2.104461407610414E-2</c:v>
                </c:pt>
                <c:pt idx="198">
                  <c:v>-3.0382476921091306E-2</c:v>
                </c:pt>
                <c:pt idx="199">
                  <c:v>6.6292123107390299E-2</c:v>
                </c:pt>
                <c:pt idx="200">
                  <c:v>-2.1492296055577453E-3</c:v>
                </c:pt>
                <c:pt idx="201">
                  <c:v>5.4342195430692186E-2</c:v>
                </c:pt>
                <c:pt idx="202">
                  <c:v>-5.4451252424896901E-2</c:v>
                </c:pt>
                <c:pt idx="203">
                  <c:v>4.6548551922181769E-2</c:v>
                </c:pt>
                <c:pt idx="204">
                  <c:v>6.3260697498057405E-2</c:v>
                </c:pt>
                <c:pt idx="205">
                  <c:v>9.4358046943714913E-2</c:v>
                </c:pt>
                <c:pt idx="206">
                  <c:v>1.7938987396187489E-2</c:v>
                </c:pt>
                <c:pt idx="207">
                  <c:v>-6.5549153534097959E-3</c:v>
                </c:pt>
                <c:pt idx="208">
                  <c:v>-0.13396415320248456</c:v>
                </c:pt>
                <c:pt idx="209">
                  <c:v>5.4389646830246829E-2</c:v>
                </c:pt>
                <c:pt idx="210">
                  <c:v>7.821500840651463E-2</c:v>
                </c:pt>
                <c:pt idx="211">
                  <c:v>0.13163273509084672</c:v>
                </c:pt>
                <c:pt idx="212">
                  <c:v>0.17668891315505986</c:v>
                </c:pt>
                <c:pt idx="213">
                  <c:v>0.18496748986808553</c:v>
                </c:pt>
                <c:pt idx="214">
                  <c:v>-0.15540174194253897</c:v>
                </c:pt>
                <c:pt idx="215">
                  <c:v>7.7184841639810209E-3</c:v>
                </c:pt>
                <c:pt idx="216">
                  <c:v>5.1657902484187446E-2</c:v>
                </c:pt>
                <c:pt idx="217">
                  <c:v>6.5695351888790388E-3</c:v>
                </c:pt>
                <c:pt idx="218">
                  <c:v>3.4798537475794367E-2</c:v>
                </c:pt>
                <c:pt idx="219">
                  <c:v>9.4665428095095261E-2</c:v>
                </c:pt>
                <c:pt idx="220">
                  <c:v>1.1938290423336106E-2</c:v>
                </c:pt>
                <c:pt idx="221">
                  <c:v>4.5695958031009676E-2</c:v>
                </c:pt>
                <c:pt idx="222">
                  <c:v>8.513691673165058E-2</c:v>
                </c:pt>
                <c:pt idx="223">
                  <c:v>7.3487691236499675E-2</c:v>
                </c:pt>
                <c:pt idx="224">
                  <c:v>0.12746478084032231</c:v>
                </c:pt>
                <c:pt idx="225">
                  <c:v>-5.8045315661778674E-2</c:v>
                </c:pt>
                <c:pt idx="226">
                  <c:v>-2.5681053343923566E-2</c:v>
                </c:pt>
                <c:pt idx="227">
                  <c:v>-4.3441089317885817E-2</c:v>
                </c:pt>
                <c:pt idx="228">
                  <c:v>5.6502066241079341E-2</c:v>
                </c:pt>
                <c:pt idx="229">
                  <c:v>-0.19481955651355309</c:v>
                </c:pt>
                <c:pt idx="230">
                  <c:v>7.1068677984010176E-2</c:v>
                </c:pt>
                <c:pt idx="231">
                  <c:v>-9.6473488793541451E-3</c:v>
                </c:pt>
                <c:pt idx="232">
                  <c:v>2.8850113587610526E-2</c:v>
                </c:pt>
                <c:pt idx="233">
                  <c:v>2.5261237251913093E-2</c:v>
                </c:pt>
                <c:pt idx="234">
                  <c:v>-7.3513102648169792E-2</c:v>
                </c:pt>
                <c:pt idx="235">
                  <c:v>2.6732326330090594E-2</c:v>
                </c:pt>
                <c:pt idx="236">
                  <c:v>1.0304860580581499E-2</c:v>
                </c:pt>
                <c:pt idx="237">
                  <c:v>6.3219173539727003E-2</c:v>
                </c:pt>
                <c:pt idx="238">
                  <c:v>1.3881755738897827E-2</c:v>
                </c:pt>
                <c:pt idx="239">
                  <c:v>-3.8323149340095619E-2</c:v>
                </c:pt>
                <c:pt idx="240">
                  <c:v>-9.4120062383155068E-3</c:v>
                </c:pt>
                <c:pt idx="241">
                  <c:v>-3.0555376588967509E-2</c:v>
                </c:pt>
                <c:pt idx="242">
                  <c:v>-3.0822630378587512E-2</c:v>
                </c:pt>
                <c:pt idx="243">
                  <c:v>1.8408049193920278E-2</c:v>
                </c:pt>
                <c:pt idx="244">
                  <c:v>-5.9347918805406019E-2</c:v>
                </c:pt>
                <c:pt idx="245">
                  <c:v>1.4354867865185639E-2</c:v>
                </c:pt>
                <c:pt idx="246">
                  <c:v>4.8480087242192826E-3</c:v>
                </c:pt>
                <c:pt idx="247">
                  <c:v>-8.6299968992732123E-3</c:v>
                </c:pt>
                <c:pt idx="248">
                  <c:v>-2.1151419122819315E-2</c:v>
                </c:pt>
                <c:pt idx="249">
                  <c:v>1.3519322176328008E-2</c:v>
                </c:pt>
                <c:pt idx="250">
                  <c:v>-4.2645092581637289E-2</c:v>
                </c:pt>
                <c:pt idx="251">
                  <c:v>-7.5082669181012474E-3</c:v>
                </c:pt>
                <c:pt idx="252">
                  <c:v>-0.31422194656932645</c:v>
                </c:pt>
                <c:pt idx="253">
                  <c:v>5.8381202812377464E-2</c:v>
                </c:pt>
                <c:pt idx="254">
                  <c:v>4.1198949714027489E-3</c:v>
                </c:pt>
                <c:pt idx="255">
                  <c:v>-6.207602806131185E-2</c:v>
                </c:pt>
                <c:pt idx="256">
                  <c:v>-4.210139023983217E-2</c:v>
                </c:pt>
                <c:pt idx="257">
                  <c:v>9.614148935572997E-3</c:v>
                </c:pt>
                <c:pt idx="258">
                  <c:v>4.6974480819699127E-2</c:v>
                </c:pt>
                <c:pt idx="259">
                  <c:v>0.15022419985908775</c:v>
                </c:pt>
                <c:pt idx="260">
                  <c:v>4.3978542372429374E-2</c:v>
                </c:pt>
                <c:pt idx="261">
                  <c:v>0.10081459239254598</c:v>
                </c:pt>
                <c:pt idx="262">
                  <c:v>1.2320796929760902E-2</c:v>
                </c:pt>
                <c:pt idx="263">
                  <c:v>0.21160657815608386</c:v>
                </c:pt>
                <c:pt idx="264">
                  <c:v>4.9390329450274328E-2</c:v>
                </c:pt>
                <c:pt idx="265">
                  <c:v>6.0967246183409762E-2</c:v>
                </c:pt>
                <c:pt idx="266">
                  <c:v>-9.3812846044151077E-2</c:v>
                </c:pt>
                <c:pt idx="267">
                  <c:v>-1.7177311971076081E-3</c:v>
                </c:pt>
                <c:pt idx="268">
                  <c:v>4.6705404968263309E-2</c:v>
                </c:pt>
                <c:pt idx="269">
                  <c:v>-4.4604099811744402E-2</c:v>
                </c:pt>
                <c:pt idx="270">
                  <c:v>-1.8486060269084559E-2</c:v>
                </c:pt>
                <c:pt idx="271">
                  <c:v>-7.6959508946922495E-2</c:v>
                </c:pt>
                <c:pt idx="272">
                  <c:v>8.1497916224942957E-3</c:v>
                </c:pt>
                <c:pt idx="273">
                  <c:v>-4.3474936596934355E-2</c:v>
                </c:pt>
                <c:pt idx="274">
                  <c:v>1.4889022275612729E-2</c:v>
                </c:pt>
                <c:pt idx="275">
                  <c:v>-1.5207342339807028E-2</c:v>
                </c:pt>
                <c:pt idx="276">
                  <c:v>8.721293602660829E-2</c:v>
                </c:pt>
                <c:pt idx="277">
                  <c:v>-1.0861733444181287E-3</c:v>
                </c:pt>
                <c:pt idx="278">
                  <c:v>1.561020024205878E-2</c:v>
                </c:pt>
                <c:pt idx="279">
                  <c:v>-1.0729747817309065E-3</c:v>
                </c:pt>
                <c:pt idx="280">
                  <c:v>3.6139184690691994E-2</c:v>
                </c:pt>
                <c:pt idx="281">
                  <c:v>-1.4380475070300491E-2</c:v>
                </c:pt>
                <c:pt idx="282">
                  <c:v>3.66852047229283E-2</c:v>
                </c:pt>
                <c:pt idx="283">
                  <c:v>-6.1328951392611408E-2</c:v>
                </c:pt>
                <c:pt idx="284">
                  <c:v>-3.4329742675688779E-2</c:v>
                </c:pt>
                <c:pt idx="285">
                  <c:v>1.7997198690342997E-2</c:v>
                </c:pt>
                <c:pt idx="286">
                  <c:v>-4.7658333648809503E-2</c:v>
                </c:pt>
                <c:pt idx="287">
                  <c:v>9.6322882891667905E-3</c:v>
                </c:pt>
                <c:pt idx="288">
                  <c:v>-7.0176202154079714E-3</c:v>
                </c:pt>
                <c:pt idx="289">
                  <c:v>-0.1438671633912933</c:v>
                </c:pt>
                <c:pt idx="290">
                  <c:v>7.7170875106105097E-3</c:v>
                </c:pt>
                <c:pt idx="291">
                  <c:v>-8.8902271100623764E-3</c:v>
                </c:pt>
                <c:pt idx="292">
                  <c:v>-4.9112078019958094E-2</c:v>
                </c:pt>
                <c:pt idx="293">
                  <c:v>-6.149322554483444E-2</c:v>
                </c:pt>
                <c:pt idx="294">
                  <c:v>-4.1339076503317806E-3</c:v>
                </c:pt>
                <c:pt idx="295">
                  <c:v>-3.4064597943094799E-2</c:v>
                </c:pt>
                <c:pt idx="296">
                  <c:v>1.7327945919343446E-2</c:v>
                </c:pt>
                <c:pt idx="297">
                  <c:v>-3.3012793570964594E-2</c:v>
                </c:pt>
                <c:pt idx="298">
                  <c:v>-5.6109466135869646E-3</c:v>
                </c:pt>
                <c:pt idx="299">
                  <c:v>-3.4977959364428879E-2</c:v>
                </c:pt>
                <c:pt idx="300">
                  <c:v>6.6111913255252341E-3</c:v>
                </c:pt>
                <c:pt idx="301">
                  <c:v>-1.3967287888742019E-3</c:v>
                </c:pt>
                <c:pt idx="302">
                  <c:v>-5.2530030721485432E-3</c:v>
                </c:pt>
                <c:pt idx="303">
                  <c:v>1.8403479242841692E-2</c:v>
                </c:pt>
                <c:pt idx="304">
                  <c:v>-3.2651954964043883E-3</c:v>
                </c:pt>
                <c:pt idx="305">
                  <c:v>4.8620053951997644E-3</c:v>
                </c:pt>
                <c:pt idx="306">
                  <c:v>-3.1831359171402451E-2</c:v>
                </c:pt>
                <c:pt idx="307">
                  <c:v>-0.10224791431117891</c:v>
                </c:pt>
                <c:pt idx="308">
                  <c:v>-0.13321904416299052</c:v>
                </c:pt>
                <c:pt idx="309">
                  <c:v>-3.2140093391555796E-2</c:v>
                </c:pt>
                <c:pt idx="310">
                  <c:v>-2.7444520563041364E-4</c:v>
                </c:pt>
                <c:pt idx="311">
                  <c:v>-2.060556269027497E-2</c:v>
                </c:pt>
                <c:pt idx="312">
                  <c:v>1.2308972500673754E-2</c:v>
                </c:pt>
                <c:pt idx="313">
                  <c:v>3.9774989086830026E-2</c:v>
                </c:pt>
                <c:pt idx="314">
                  <c:v>-1.7838218835441566E-2</c:v>
                </c:pt>
                <c:pt idx="315">
                  <c:v>-1.730045261089258E-2</c:v>
                </c:pt>
                <c:pt idx="316">
                  <c:v>1.6194114575385443E-2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D-1C49-85E2-E06408421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470592"/>
        <c:axId val="1980887744"/>
      </c:lineChart>
      <c:catAx>
        <c:axId val="195347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0887744"/>
        <c:crosses val="autoZero"/>
        <c:auto val="1"/>
        <c:lblAlgn val="ctr"/>
        <c:lblOffset val="100"/>
        <c:noMultiLvlLbl val="0"/>
      </c:catAx>
      <c:valAx>
        <c:axId val="19808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534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Brasil Bond Yields 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[1]Sheet1!$F$3:$F$175</c:f>
              <c:numCache>
                <c:formatCode>General</c:formatCode>
                <c:ptCount val="173"/>
                <c:pt idx="0">
                  <c:v>0.23105897613916879</c:v>
                </c:pt>
                <c:pt idx="1">
                  <c:v>0.48215822306535411</c:v>
                </c:pt>
                <c:pt idx="2">
                  <c:v>0.41603528885032048</c:v>
                </c:pt>
                <c:pt idx="3">
                  <c:v>0.25165615210703041</c:v>
                </c:pt>
                <c:pt idx="4">
                  <c:v>0.25398781651576319</c:v>
                </c:pt>
                <c:pt idx="5">
                  <c:v>0.32639671138731979</c:v>
                </c:pt>
                <c:pt idx="6">
                  <c:v>0.37075412465830698</c:v>
                </c:pt>
                <c:pt idx="7">
                  <c:v>0.24241462314880169</c:v>
                </c:pt>
                <c:pt idx="8">
                  <c:v>0.27521208838150041</c:v>
                </c:pt>
                <c:pt idx="9">
                  <c:v>0.28544016593786581</c:v>
                </c:pt>
                <c:pt idx="10">
                  <c:v>0.1748343663046433</c:v>
                </c:pt>
                <c:pt idx="11">
                  <c:v>0.21893322299589699</c:v>
                </c:pt>
                <c:pt idx="12">
                  <c:v>0.27317927991508401</c:v>
                </c:pt>
                <c:pt idx="13">
                  <c:v>0.32580307266674591</c:v>
                </c:pt>
                <c:pt idx="14">
                  <c:v>0.35015017437070572</c:v>
                </c:pt>
                <c:pt idx="15">
                  <c:v>0.41903344582912588</c:v>
                </c:pt>
                <c:pt idx="16">
                  <c:v>0.31296704682673632</c:v>
                </c:pt>
                <c:pt idx="17">
                  <c:v>0.33238451705976391</c:v>
                </c:pt>
                <c:pt idx="18">
                  <c:v>0.35764945677835669</c:v>
                </c:pt>
                <c:pt idx="19">
                  <c:v>0.25064640617929029</c:v>
                </c:pt>
                <c:pt idx="20">
                  <c:v>0.37604959899043461</c:v>
                </c:pt>
                <c:pt idx="21">
                  <c:v>0.17821915675260391</c:v>
                </c:pt>
                <c:pt idx="22">
                  <c:v>0.33466992882930779</c:v>
                </c:pt>
                <c:pt idx="23">
                  <c:v>0.2167777417422555</c:v>
                </c:pt>
                <c:pt idx="24">
                  <c:v>0.22689676315354049</c:v>
                </c:pt>
                <c:pt idx="25">
                  <c:v>0.26971045225561108</c:v>
                </c:pt>
                <c:pt idx="26">
                  <c:v>0.18368610436266289</c:v>
                </c:pt>
                <c:pt idx="27">
                  <c:v>0.21926683998551019</c:v>
                </c:pt>
                <c:pt idx="28">
                  <c:v>0.1871872087258443</c:v>
                </c:pt>
                <c:pt idx="29">
                  <c:v>0.30010355508288789</c:v>
                </c:pt>
                <c:pt idx="30">
                  <c:v>0.2499697304653698</c:v>
                </c:pt>
                <c:pt idx="31">
                  <c:v>0.42702692186094782</c:v>
                </c:pt>
                <c:pt idx="32">
                  <c:v>0.25680421508427548</c:v>
                </c:pt>
                <c:pt idx="33">
                  <c:v>0.29791518945731099</c:v>
                </c:pt>
                <c:pt idx="34">
                  <c:v>0.2356677556791075</c:v>
                </c:pt>
                <c:pt idx="35">
                  <c:v>0.29404194588751797</c:v>
                </c:pt>
                <c:pt idx="36">
                  <c:v>0.28198959346102948</c:v>
                </c:pt>
                <c:pt idx="37">
                  <c:v>0.37975317217353322</c:v>
                </c:pt>
                <c:pt idx="38">
                  <c:v>0.58477451138239367</c:v>
                </c:pt>
                <c:pt idx="39">
                  <c:v>0.25018703244121793</c:v>
                </c:pt>
                <c:pt idx="40">
                  <c:v>0.28494128455292261</c:v>
                </c:pt>
                <c:pt idx="41">
                  <c:v>0.26236871958366542</c:v>
                </c:pt>
                <c:pt idx="42">
                  <c:v>0.21484627675409471</c:v>
                </c:pt>
                <c:pt idx="43">
                  <c:v>0.12256566548898459</c:v>
                </c:pt>
                <c:pt idx="44">
                  <c:v>0.17760209389047721</c:v>
                </c:pt>
                <c:pt idx="45">
                  <c:v>0.14164027360588541</c:v>
                </c:pt>
                <c:pt idx="46">
                  <c:v>0.15225615155658551</c:v>
                </c:pt>
                <c:pt idx="47">
                  <c:v>0.17899250384316909</c:v>
                </c:pt>
                <c:pt idx="48">
                  <c:v>0.14967573499018899</c:v>
                </c:pt>
                <c:pt idx="49">
                  <c:v>0.1238896599125501</c:v>
                </c:pt>
                <c:pt idx="50">
                  <c:v>0.14311313173537779</c:v>
                </c:pt>
                <c:pt idx="51">
                  <c:v>0.19138082460520001</c:v>
                </c:pt>
                <c:pt idx="52">
                  <c:v>0.24041202890237151</c:v>
                </c:pt>
                <c:pt idx="53">
                  <c:v>0.32682493255363809</c:v>
                </c:pt>
                <c:pt idx="54">
                  <c:v>0.2104765474492343</c:v>
                </c:pt>
                <c:pt idx="55">
                  <c:v>0.21735707709100741</c:v>
                </c:pt>
                <c:pt idx="56">
                  <c:v>0.1717948336140675</c:v>
                </c:pt>
                <c:pt idx="57">
                  <c:v>0.34771479888016421</c:v>
                </c:pt>
                <c:pt idx="58">
                  <c:v>0.30079897384618931</c:v>
                </c:pt>
                <c:pt idx="59">
                  <c:v>0.2027556071822019</c:v>
                </c:pt>
                <c:pt idx="60">
                  <c:v>0.27854226146209449</c:v>
                </c:pt>
                <c:pt idx="61">
                  <c:v>0.17951951268233721</c:v>
                </c:pt>
                <c:pt idx="62">
                  <c:v>0.2866987477674614</c:v>
                </c:pt>
                <c:pt idx="63">
                  <c:v>0.24214187178275901</c:v>
                </c:pt>
                <c:pt idx="64">
                  <c:v>0.22702265562140919</c:v>
                </c:pt>
                <c:pt idx="65">
                  <c:v>0.30210056798392559</c:v>
                </c:pt>
                <c:pt idx="66">
                  <c:v>0.37020247059078082</c:v>
                </c:pt>
                <c:pt idx="67">
                  <c:v>0.29667824827513289</c:v>
                </c:pt>
                <c:pt idx="68">
                  <c:v>0.23245017633619761</c:v>
                </c:pt>
                <c:pt idx="69">
                  <c:v>0.2418538221122894</c:v>
                </c:pt>
                <c:pt idx="70">
                  <c:v>0.22444419448312139</c:v>
                </c:pt>
                <c:pt idx="71">
                  <c:v>0.19623708819082339</c:v>
                </c:pt>
                <c:pt idx="72">
                  <c:v>0.41414190397980921</c:v>
                </c:pt>
                <c:pt idx="73">
                  <c:v>0.71685749729741355</c:v>
                </c:pt>
                <c:pt idx="74">
                  <c:v>0.60088727064360614</c:v>
                </c:pt>
                <c:pt idx="75">
                  <c:v>0.45479517368457661</c:v>
                </c:pt>
                <c:pt idx="76">
                  <c:v>0.26639840263661441</c:v>
                </c:pt>
                <c:pt idx="77">
                  <c:v>0.50315146113588194</c:v>
                </c:pt>
                <c:pt idx="78">
                  <c:v>0.44628562978686809</c:v>
                </c:pt>
                <c:pt idx="79">
                  <c:v>0.3601082273844789</c:v>
                </c:pt>
                <c:pt idx="80">
                  <c:v>0.3325705339046261</c:v>
                </c:pt>
                <c:pt idx="81">
                  <c:v>0.31918005871441968</c:v>
                </c:pt>
                <c:pt idx="82">
                  <c:v>0.36978228101975152</c:v>
                </c:pt>
                <c:pt idx="83">
                  <c:v>0.27016223043052812</c:v>
                </c:pt>
                <c:pt idx="84">
                  <c:v>0.41044218403410071</c:v>
                </c:pt>
                <c:pt idx="85">
                  <c:v>0.35154108278410212</c:v>
                </c:pt>
                <c:pt idx="86">
                  <c:v>0.27502224863850577</c:v>
                </c:pt>
                <c:pt idx="87">
                  <c:v>0.25850962394431848</c:v>
                </c:pt>
                <c:pt idx="88">
                  <c:v>0.28168619373371823</c:v>
                </c:pt>
                <c:pt idx="89">
                  <c:v>0.33673197034508778</c:v>
                </c:pt>
                <c:pt idx="90">
                  <c:v>0.31087069295782133</c:v>
                </c:pt>
                <c:pt idx="91">
                  <c:v>0.29042418805102338</c:v>
                </c:pt>
                <c:pt idx="92">
                  <c:v>0.31796420663943958</c:v>
                </c:pt>
                <c:pt idx="93">
                  <c:v>0.32374586055168192</c:v>
                </c:pt>
                <c:pt idx="94">
                  <c:v>0.30877265462539111</c:v>
                </c:pt>
                <c:pt idx="95">
                  <c:v>0.33056686546583092</c:v>
                </c:pt>
                <c:pt idx="96">
                  <c:v>0.32194428169183992</c:v>
                </c:pt>
                <c:pt idx="97">
                  <c:v>0.26807579048184849</c:v>
                </c:pt>
                <c:pt idx="98">
                  <c:v>0.30439711817134418</c:v>
                </c:pt>
                <c:pt idx="99">
                  <c:v>0.32501167904036282</c:v>
                </c:pt>
                <c:pt idx="100">
                  <c:v>0.32512902741129418</c:v>
                </c:pt>
                <c:pt idx="101">
                  <c:v>0.27065588472699881</c:v>
                </c:pt>
                <c:pt idx="102">
                  <c:v>0.34910416108250159</c:v>
                </c:pt>
                <c:pt idx="103">
                  <c:v>0.48044597493659258</c:v>
                </c:pt>
                <c:pt idx="104">
                  <c:v>0.51322453601076656</c:v>
                </c:pt>
                <c:pt idx="105">
                  <c:v>0.33651255071221298</c:v>
                </c:pt>
                <c:pt idx="106">
                  <c:v>0.40178973911064808</c:v>
                </c:pt>
                <c:pt idx="107">
                  <c:v>0.30049656036292449</c:v>
                </c:pt>
                <c:pt idx="108">
                  <c:v>0.34680579107091508</c:v>
                </c:pt>
                <c:pt idx="109">
                  <c:v>0.24518607893322589</c:v>
                </c:pt>
                <c:pt idx="110">
                  <c:v>0.31708502046571169</c:v>
                </c:pt>
                <c:pt idx="111">
                  <c:v>0.31818794635963499</c:v>
                </c:pt>
                <c:pt idx="112">
                  <c:v>0.33027432152454939</c:v>
                </c:pt>
                <c:pt idx="113">
                  <c:v>0.42542332965866048</c:v>
                </c:pt>
                <c:pt idx="114">
                  <c:v>0.27410794495947138</c:v>
                </c:pt>
                <c:pt idx="115">
                  <c:v>0.3140345743405617</c:v>
                </c:pt>
                <c:pt idx="116">
                  <c:v>0.25111478131821913</c:v>
                </c:pt>
                <c:pt idx="117">
                  <c:v>0.30113268427076861</c:v>
                </c:pt>
                <c:pt idx="118">
                  <c:v>0.37945975064223603</c:v>
                </c:pt>
                <c:pt idx="119">
                  <c:v>0.54160834438061844</c:v>
                </c:pt>
                <c:pt idx="120">
                  <c:v>0.39208144572539322</c:v>
                </c:pt>
                <c:pt idx="121">
                  <c:v>0.36854252849688152</c:v>
                </c:pt>
                <c:pt idx="122">
                  <c:v>0.27395559759135479</c:v>
                </c:pt>
                <c:pt idx="123">
                  <c:v>0.35300567539677619</c:v>
                </c:pt>
                <c:pt idx="124">
                  <c:v>0.37955345273978908</c:v>
                </c:pt>
                <c:pt idx="125">
                  <c:v>0.34535982050228381</c:v>
                </c:pt>
                <c:pt idx="126">
                  <c:v>0.34279445753693089</c:v>
                </c:pt>
                <c:pt idx="127">
                  <c:v>0.38473126373739608</c:v>
                </c:pt>
                <c:pt idx="128">
                  <c:v>0.46400042501860689</c:v>
                </c:pt>
                <c:pt idx="129">
                  <c:v>0.61208891022932632</c:v>
                </c:pt>
                <c:pt idx="130">
                  <c:v>0.77802304919240362</c:v>
                </c:pt>
                <c:pt idx="131">
                  <c:v>0.72615259180857394</c:v>
                </c:pt>
                <c:pt idx="132">
                  <c:v>0.54806593466535236</c:v>
                </c:pt>
                <c:pt idx="133">
                  <c:v>0.42123836751994859</c:v>
                </c:pt>
                <c:pt idx="134">
                  <c:v>0.52884933818160484</c:v>
                </c:pt>
                <c:pt idx="135">
                  <c:v>0.63766718042744708</c:v>
                </c:pt>
                <c:pt idx="136">
                  <c:v>0.67664338351949682</c:v>
                </c:pt>
                <c:pt idx="137">
                  <c:v>0.71740951997775293</c:v>
                </c:pt>
                <c:pt idx="138">
                  <c:v>0.54040014730194141</c:v>
                </c:pt>
                <c:pt idx="139">
                  <c:v>0.60754837574542708</c:v>
                </c:pt>
                <c:pt idx="140">
                  <c:v>0.40778409514504332</c:v>
                </c:pt>
                <c:pt idx="141">
                  <c:v>0.5094899472363974</c:v>
                </c:pt>
                <c:pt idx="142">
                  <c:v>0.49360783751823029</c:v>
                </c:pt>
                <c:pt idx="143">
                  <c:v>0.53019633234694619</c:v>
                </c:pt>
                <c:pt idx="144">
                  <c:v>0.59682315102444916</c:v>
                </c:pt>
                <c:pt idx="145">
                  <c:v>0.47310373944942719</c:v>
                </c:pt>
                <c:pt idx="146">
                  <c:v>0.49832771629215661</c:v>
                </c:pt>
                <c:pt idx="147">
                  <c:v>0.62442755071330702</c:v>
                </c:pt>
                <c:pt idx="148">
                  <c:v>0.69026111438391524</c:v>
                </c:pt>
                <c:pt idx="149">
                  <c:v>0.76340170383981298</c:v>
                </c:pt>
                <c:pt idx="150">
                  <c:v>0.50790808236615881</c:v>
                </c:pt>
                <c:pt idx="151">
                  <c:v>0.60762495998461497</c:v>
                </c:pt>
                <c:pt idx="152">
                  <c:v>0.36357071170353028</c:v>
                </c:pt>
                <c:pt idx="153">
                  <c:v>0.44650560735079342</c:v>
                </c:pt>
                <c:pt idx="154">
                  <c:v>0.42053533293360729</c:v>
                </c:pt>
                <c:pt idx="155">
                  <c:v>0.58521609951262377</c:v>
                </c:pt>
                <c:pt idx="156">
                  <c:v>0.49977780345060863</c:v>
                </c:pt>
                <c:pt idx="157">
                  <c:v>0.46917047455845939</c:v>
                </c:pt>
                <c:pt idx="158">
                  <c:v>0.50803893832817737</c:v>
                </c:pt>
                <c:pt idx="159">
                  <c:v>0.35829785923497381</c:v>
                </c:pt>
                <c:pt idx="160">
                  <c:v>0.42252066875392152</c:v>
                </c:pt>
                <c:pt idx="161">
                  <c:v>0.49092763096905212</c:v>
                </c:pt>
                <c:pt idx="162">
                  <c:v>0.4091218406160223</c:v>
                </c:pt>
                <c:pt idx="163">
                  <c:v>0.36654411797570818</c:v>
                </c:pt>
                <c:pt idx="164">
                  <c:v>0.32130652050797071</c:v>
                </c:pt>
                <c:pt idx="165">
                  <c:v>0.53399705859486724</c:v>
                </c:pt>
                <c:pt idx="166">
                  <c:v>0.71122520394436162</c:v>
                </c:pt>
                <c:pt idx="167">
                  <c:v>0.37701016521907038</c:v>
                </c:pt>
                <c:pt idx="168">
                  <c:v>0.36803154574908931</c:v>
                </c:pt>
                <c:pt idx="169">
                  <c:v>0.38320874857351678</c:v>
                </c:pt>
                <c:pt idx="170">
                  <c:v>0.34259651605994967</c:v>
                </c:pt>
                <c:pt idx="171">
                  <c:v>0.36994677884665522</c:v>
                </c:pt>
                <c:pt idx="172">
                  <c:v>0.29580001024141728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3-124D-BBEF-9AE061C32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854656"/>
        <c:axId val="1979856000"/>
      </c:lineChart>
      <c:catAx>
        <c:axId val="1979854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9856000"/>
        <c:crosses val="autoZero"/>
        <c:auto val="1"/>
        <c:lblAlgn val="ctr"/>
        <c:lblOffset val="100"/>
        <c:noMultiLvlLbl val="0"/>
      </c:catAx>
      <c:valAx>
        <c:axId val="19798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985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Brasil</a:t>
            </a:r>
            <a:r>
              <a:rPr lang="it-IT" baseline="0"/>
              <a:t> Bond Yields Old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'Brasil Bond Yields'!$B$8:$B$154</c:f>
              <c:numCache>
                <c:formatCode>General</c:formatCode>
                <c:ptCount val="147"/>
                <c:pt idx="0">
                  <c:v>0.50261820000000001</c:v>
                </c:pt>
                <c:pt idx="1">
                  <c:v>0.78147520000000004</c:v>
                </c:pt>
                <c:pt idx="2">
                  <c:v>0.6815909</c:v>
                </c:pt>
                <c:pt idx="3">
                  <c:v>2.2014140000000002</c:v>
                </c:pt>
                <c:pt idx="4">
                  <c:v>1.1725950000000001</c:v>
                </c:pt>
                <c:pt idx="5">
                  <c:v>0.66834740000000004</c:v>
                </c:pt>
                <c:pt idx="6">
                  <c:v>2.0965120000000002</c:v>
                </c:pt>
                <c:pt idx="7">
                  <c:v>1.332416</c:v>
                </c:pt>
                <c:pt idx="8">
                  <c:v>0.62884459999999998</c:v>
                </c:pt>
                <c:pt idx="9">
                  <c:v>0.4108562</c:v>
                </c:pt>
                <c:pt idx="10">
                  <c:v>2.5538180000000001</c:v>
                </c:pt>
                <c:pt idx="11">
                  <c:v>2.0077950000000002</c:v>
                </c:pt>
                <c:pt idx="12">
                  <c:v>0.64673049999999999</c:v>
                </c:pt>
                <c:pt idx="13">
                  <c:v>0.78888999999999998</c:v>
                </c:pt>
                <c:pt idx="14">
                  <c:v>0.65278650000000005</c:v>
                </c:pt>
                <c:pt idx="15">
                  <c:v>1.0847599999999999</c:v>
                </c:pt>
                <c:pt idx="16">
                  <c:v>1.2473289999999999</c:v>
                </c:pt>
                <c:pt idx="17">
                  <c:v>1.107464</c:v>
                </c:pt>
                <c:pt idx="18">
                  <c:v>2.3358249999999998</c:v>
                </c:pt>
                <c:pt idx="19">
                  <c:v>0.76657560000000002</c:v>
                </c:pt>
                <c:pt idx="20">
                  <c:v>1.070117</c:v>
                </c:pt>
                <c:pt idx="21">
                  <c:v>2.1701130000000002</c:v>
                </c:pt>
                <c:pt idx="22">
                  <c:v>0.8229206</c:v>
                </c:pt>
                <c:pt idx="23">
                  <c:v>0.47080519999999998</c:v>
                </c:pt>
                <c:pt idx="24">
                  <c:v>0.45389449999999998</c:v>
                </c:pt>
                <c:pt idx="25">
                  <c:v>1.053946</c:v>
                </c:pt>
                <c:pt idx="26">
                  <c:v>0.92294690000000001</c:v>
                </c:pt>
                <c:pt idx="27">
                  <c:v>1.391262</c:v>
                </c:pt>
                <c:pt idx="28">
                  <c:v>1.3196749999999999</c:v>
                </c:pt>
                <c:pt idx="29">
                  <c:v>0.99444719999999998</c:v>
                </c:pt>
                <c:pt idx="30">
                  <c:v>0.66774049999999996</c:v>
                </c:pt>
                <c:pt idx="31">
                  <c:v>1.0170140000000001</c:v>
                </c:pt>
                <c:pt idx="32">
                  <c:v>3.3562099999999999</c:v>
                </c:pt>
                <c:pt idx="33">
                  <c:v>1.614358</c:v>
                </c:pt>
                <c:pt idx="34">
                  <c:v>1.859189</c:v>
                </c:pt>
                <c:pt idx="35">
                  <c:v>2.9734569999999998</c:v>
                </c:pt>
                <c:pt idx="36">
                  <c:v>2.424029</c:v>
                </c:pt>
                <c:pt idx="37">
                  <c:v>2.9917050000000001</c:v>
                </c:pt>
                <c:pt idx="38">
                  <c:v>2.6728890000000001</c:v>
                </c:pt>
                <c:pt idx="39">
                  <c:v>2.0699920000000001</c:v>
                </c:pt>
                <c:pt idx="40">
                  <c:v>2.7194539999999998</c:v>
                </c:pt>
                <c:pt idx="41">
                  <c:v>1.9324619999999999</c:v>
                </c:pt>
                <c:pt idx="42">
                  <c:v>0.53658839999999997</c:v>
                </c:pt>
                <c:pt idx="43">
                  <c:v>2.2350850000000002</c:v>
                </c:pt>
                <c:pt idx="44">
                  <c:v>1.7965180000000001</c:v>
                </c:pt>
                <c:pt idx="45">
                  <c:v>1.438847</c:v>
                </c:pt>
                <c:pt idx="46">
                  <c:v>2.5481060000000002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2.485274</c:v>
                </c:pt>
                <c:pt idx="53">
                  <c:v>2.5902989999999999</c:v>
                </c:pt>
                <c:pt idx="54">
                  <c:v>0.70417090000000004</c:v>
                </c:pt>
                <c:pt idx="55">
                  <c:v>0.863649</c:v>
                </c:pt>
                <c:pt idx="56">
                  <c:v>1.076001</c:v>
                </c:pt>
                <c:pt idx="57">
                  <c:v>0.9878806</c:v>
                </c:pt>
                <c:pt idx="58">
                  <c:v>0.56859820000000005</c:v>
                </c:pt>
                <c:pt idx="59">
                  <c:v>1.214488</c:v>
                </c:pt>
                <c:pt idx="60">
                  <c:v>1.1404460000000001</c:v>
                </c:pt>
                <c:pt idx="61">
                  <c:v>1.5212559999999999</c:v>
                </c:pt>
                <c:pt idx="62">
                  <c:v>8.95677E-2</c:v>
                </c:pt>
                <c:pt idx="63">
                  <c:v>0.61677380000000004</c:v>
                </c:pt>
                <c:pt idx="64">
                  <c:v>0.66896580000000005</c:v>
                </c:pt>
                <c:pt idx="65">
                  <c:v>0.4603139</c:v>
                </c:pt>
                <c:pt idx="66">
                  <c:v>1.491079</c:v>
                </c:pt>
                <c:pt idx="67">
                  <c:v>1.7649680000000001</c:v>
                </c:pt>
                <c:pt idx="68">
                  <c:v>0.77761729999999996</c:v>
                </c:pt>
                <c:pt idx="69">
                  <c:v>0.72043639999999998</c:v>
                </c:pt>
                <c:pt idx="70">
                  <c:v>0.62098600000000004</c:v>
                </c:pt>
                <c:pt idx="71">
                  <c:v>0.71292350000000004</c:v>
                </c:pt>
                <c:pt idx="72">
                  <c:v>0.95773739999999996</c:v>
                </c:pt>
                <c:pt idx="73">
                  <c:v>1.307231</c:v>
                </c:pt>
                <c:pt idx="74">
                  <c:v>0.75652920000000001</c:v>
                </c:pt>
                <c:pt idx="75">
                  <c:v>1.560427</c:v>
                </c:pt>
                <c:pt idx="76">
                  <c:v>2.1454080000000002</c:v>
                </c:pt>
                <c:pt idx="77">
                  <c:v>0.93274440000000003</c:v>
                </c:pt>
                <c:pt idx="78">
                  <c:v>1.09351</c:v>
                </c:pt>
                <c:pt idx="79">
                  <c:v>0.64473670000000005</c:v>
                </c:pt>
                <c:pt idx="80">
                  <c:v>0.59826749999999995</c:v>
                </c:pt>
                <c:pt idx="81">
                  <c:v>0.64227440000000002</c:v>
                </c:pt>
                <c:pt idx="82">
                  <c:v>0.73971489999999995</c:v>
                </c:pt>
                <c:pt idx="83">
                  <c:v>0.66599560000000002</c:v>
                </c:pt>
                <c:pt idx="84">
                  <c:v>0.56474630000000003</c:v>
                </c:pt>
                <c:pt idx="85">
                  <c:v>0.8864573</c:v>
                </c:pt>
                <c:pt idx="86">
                  <c:v>0.95257800000000004</c:v>
                </c:pt>
                <c:pt idx="87">
                  <c:v>1.0033449999999999</c:v>
                </c:pt>
                <c:pt idx="88">
                  <c:v>2.0916109999999999</c:v>
                </c:pt>
                <c:pt idx="89">
                  <c:v>0.95132930000000004</c:v>
                </c:pt>
                <c:pt idx="90">
                  <c:v>1.6503380000000001</c:v>
                </c:pt>
                <c:pt idx="91">
                  <c:v>1.0848469999999999</c:v>
                </c:pt>
                <c:pt idx="92">
                  <c:v>0.84630760000000005</c:v>
                </c:pt>
                <c:pt idx="93">
                  <c:v>0.94934759999999996</c:v>
                </c:pt>
                <c:pt idx="94">
                  <c:v>1.023776</c:v>
                </c:pt>
                <c:pt idx="95">
                  <c:v>0.7303579</c:v>
                </c:pt>
                <c:pt idx="96">
                  <c:v>0.84427700000000006</c:v>
                </c:pt>
                <c:pt idx="97">
                  <c:v>0.78823089999999996</c:v>
                </c:pt>
                <c:pt idx="98">
                  <c:v>0.6371734</c:v>
                </c:pt>
                <c:pt idx="99">
                  <c:v>0.62067410000000001</c:v>
                </c:pt>
                <c:pt idx="100">
                  <c:v>1.092263</c:v>
                </c:pt>
                <c:pt idx="101">
                  <c:v>0.76589589999999996</c:v>
                </c:pt>
                <c:pt idx="102">
                  <c:v>1.0146189999999999</c:v>
                </c:pt>
                <c:pt idx="103">
                  <c:v>1.5930139999999999</c:v>
                </c:pt>
                <c:pt idx="104">
                  <c:v>1.894263</c:v>
                </c:pt>
                <c:pt idx="105">
                  <c:v>1.3940980000000001</c:v>
                </c:pt>
                <c:pt idx="106">
                  <c:v>0.69034910000000005</c:v>
                </c:pt>
                <c:pt idx="107">
                  <c:v>0.93730290000000005</c:v>
                </c:pt>
                <c:pt idx="108">
                  <c:v>1.0814790000000001</c:v>
                </c:pt>
                <c:pt idx="109">
                  <c:v>1.1474230000000001</c:v>
                </c:pt>
                <c:pt idx="110">
                  <c:v>0.69203510000000001</c:v>
                </c:pt>
                <c:pt idx="111">
                  <c:v>0.7205317</c:v>
                </c:pt>
                <c:pt idx="112">
                  <c:v>0.75554399999999999</c:v>
                </c:pt>
                <c:pt idx="113">
                  <c:v>1.1633979999999999</c:v>
                </c:pt>
                <c:pt idx="114">
                  <c:v>1.1665080000000001</c:v>
                </c:pt>
                <c:pt idx="115">
                  <c:v>2.0846279999999999</c:v>
                </c:pt>
                <c:pt idx="116">
                  <c:v>1.0659320000000001</c:v>
                </c:pt>
                <c:pt idx="117">
                  <c:v>0.75264500000000001</c:v>
                </c:pt>
                <c:pt idx="118">
                  <c:v>0.79579440000000001</c:v>
                </c:pt>
                <c:pt idx="119">
                  <c:v>0.96135970000000004</c:v>
                </c:pt>
                <c:pt idx="120">
                  <c:v>0.88812780000000002</c:v>
                </c:pt>
                <c:pt idx="121">
                  <c:v>1.691689</c:v>
                </c:pt>
                <c:pt idx="122">
                  <c:v>1.263341</c:v>
                </c:pt>
                <c:pt idx="123">
                  <c:v>1.2533129999999999</c:v>
                </c:pt>
                <c:pt idx="124">
                  <c:v>0.88232370000000004</c:v>
                </c:pt>
                <c:pt idx="125">
                  <c:v>0.77564480000000002</c:v>
                </c:pt>
                <c:pt idx="126">
                  <c:v>0.84003669999999997</c:v>
                </c:pt>
                <c:pt idx="127">
                  <c:v>0.88219539999999996</c:v>
                </c:pt>
                <c:pt idx="128">
                  <c:v>0.87067879999999997</c:v>
                </c:pt>
                <c:pt idx="129">
                  <c:v>1.530589</c:v>
                </c:pt>
                <c:pt idx="130">
                  <c:v>1.211638</c:v>
                </c:pt>
                <c:pt idx="131">
                  <c:v>0.84487239999999997</c:v>
                </c:pt>
                <c:pt idx="132">
                  <c:v>0.58501389999999998</c:v>
                </c:pt>
                <c:pt idx="133">
                  <c:v>0.97652159999999999</c:v>
                </c:pt>
                <c:pt idx="134">
                  <c:v>0.91361040000000004</c:v>
                </c:pt>
                <c:pt idx="135">
                  <c:v>3.6048420000000001</c:v>
                </c:pt>
                <c:pt idx="136">
                  <c:v>1.0933679999999999</c:v>
                </c:pt>
                <c:pt idx="137">
                  <c:v>0.76130920000000002</c:v>
                </c:pt>
                <c:pt idx="138">
                  <c:v>0.75077320000000003</c:v>
                </c:pt>
                <c:pt idx="139">
                  <c:v>0.64930370000000004</c:v>
                </c:pt>
                <c:pt idx="140">
                  <c:v>0.8902987</c:v>
                </c:pt>
                <c:pt idx="141">
                  <c:v>1.0675030000000001</c:v>
                </c:pt>
                <c:pt idx="142">
                  <c:v>0.77994399999999997</c:v>
                </c:pt>
                <c:pt idx="143">
                  <c:v>0.80663969999999996</c:v>
                </c:pt>
                <c:pt idx="144">
                  <c:v>0.69257990000000003</c:v>
                </c:pt>
                <c:pt idx="145">
                  <c:v>0.52433920000000001</c:v>
                </c:pt>
                <c:pt idx="146">
                  <c:v>0.66491299999999998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E-1442-8B94-B2C75D4AB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547136"/>
        <c:axId val="1953546240"/>
      </c:lineChart>
      <c:catAx>
        <c:axId val="195354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53546240"/>
        <c:crosses val="autoZero"/>
        <c:auto val="1"/>
        <c:lblAlgn val="ctr"/>
        <c:lblOffset val="100"/>
        <c:noMultiLvlLbl val="0"/>
      </c:catAx>
      <c:valAx>
        <c:axId val="19535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535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Diff</a:t>
            </a:r>
            <a:r>
              <a:rPr lang="it-IT" baseline="0"/>
              <a:t> (new - old)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'Brasil Bond Yields'!$N$7:$N$179</c:f>
              <c:numCache>
                <c:formatCode>General</c:formatCode>
                <c:ptCount val="173"/>
                <c:pt idx="0">
                  <c:v>3.3298517531308267</c:v>
                </c:pt>
                <c:pt idx="1">
                  <c:v>0.92112459761683896</c:v>
                </c:pt>
                <c:pt idx="2">
                  <c:v>0.21778475833868882</c:v>
                </c:pt>
                <c:pt idx="3">
                  <c:v>0.35741965243861884</c:v>
                </c:pt>
                <c:pt idx="4">
                  <c:v>0.7873398066218309</c:v>
                </c:pt>
                <c:pt idx="5">
                  <c:v>-3.1498069280495589E-3</c:v>
                </c:pt>
                <c:pt idx="6">
                  <c:v>-1.3976840719003292E-3</c:v>
                </c:pt>
                <c:pt idx="7">
                  <c:v>-2.6022523877291093E-2</c:v>
                </c:pt>
                <c:pt idx="8">
                  <c:v>2.208609683341578E-3</c:v>
                </c:pt>
                <c:pt idx="9">
                  <c:v>-1.7176940531845097E-2</c:v>
                </c:pt>
                <c:pt idx="10">
                  <c:v>-0.8232783900831242</c:v>
                </c:pt>
                <c:pt idx="11">
                  <c:v>-0.96531464861764227</c:v>
                </c:pt>
                <c:pt idx="12">
                  <c:v>-0.27823130453983308</c:v>
                </c:pt>
                <c:pt idx="13">
                  <c:v>0.12637943326950907</c:v>
                </c:pt>
                <c:pt idx="14">
                  <c:v>2.6196317932668189E-2</c:v>
                </c:pt>
                <c:pt idx="15">
                  <c:v>-8.9625665016742628E-2</c:v>
                </c:pt>
                <c:pt idx="16">
                  <c:v>9.4837080923405148E-2</c:v>
                </c:pt>
                <c:pt idx="17">
                  <c:v>6.1548229610687066E-2</c:v>
                </c:pt>
                <c:pt idx="18">
                  <c:v>-0.86602832937787078</c:v>
                </c:pt>
                <c:pt idx="19">
                  <c:v>-2.8224487876403748E-3</c:v>
                </c:pt>
                <c:pt idx="20">
                  <c:v>1.1325001716756988E-2</c:v>
                </c:pt>
                <c:pt idx="21">
                  <c:v>-1.1708599895740466</c:v>
                </c:pt>
                <c:pt idx="22">
                  <c:v>1.1346447117518976E-2</c:v>
                </c:pt>
                <c:pt idx="23">
                  <c:v>4.6755292036491924E-2</c:v>
                </c:pt>
                <c:pt idx="24">
                  <c:v>1.4570026359803701E-2</c:v>
                </c:pt>
                <c:pt idx="25">
                  <c:v>-2.8258261446449939E-2</c:v>
                </c:pt>
                <c:pt idx="26">
                  <c:v>1.4385449510482928E-2</c:v>
                </c:pt>
                <c:pt idx="27">
                  <c:v>-5.9377625559009495E-3</c:v>
                </c:pt>
                <c:pt idx="28">
                  <c:v>2.118899934442009E-2</c:v>
                </c:pt>
                <c:pt idx="29">
                  <c:v>-5.0881008308075737E-3</c:v>
                </c:pt>
                <c:pt idx="30">
                  <c:v>-9.2594191162564954E-4</c:v>
                </c:pt>
                <c:pt idx="31">
                  <c:v>1.5837062014618652E-3</c:v>
                </c:pt>
                <c:pt idx="32">
                  <c:v>5.5180662888862919E-2</c:v>
                </c:pt>
                <c:pt idx="33">
                  <c:v>0.76115456930980119</c:v>
                </c:pt>
                <c:pt idx="34">
                  <c:v>0.9375619013931511</c:v>
                </c:pt>
                <c:pt idx="35">
                  <c:v>0.88694418036038725</c:v>
                </c:pt>
                <c:pt idx="36">
                  <c:v>1.8200148295775271</c:v>
                </c:pt>
                <c:pt idx="37">
                  <c:v>1.8666605317185385</c:v>
                </c:pt>
                <c:pt idx="38">
                  <c:v>1.122944391582871</c:v>
                </c:pt>
                <c:pt idx="39">
                  <c:v>2.7672908091814987</c:v>
                </c:pt>
                <c:pt idx="40">
                  <c:v>1.6921451516097248</c:v>
                </c:pt>
                <c:pt idx="41">
                  <c:v>2.1894853185563727</c:v>
                </c:pt>
                <c:pt idx="42">
                  <c:v>3.5483059482151691</c:v>
                </c:pt>
                <c:pt idx="43">
                  <c:v>0.59462414035753586</c:v>
                </c:pt>
                <c:pt idx="44">
                  <c:v>1.9751348768001671</c:v>
                </c:pt>
                <c:pt idx="45">
                  <c:v>2.739772273724741</c:v>
                </c:pt>
                <c:pt idx="46">
                  <c:v>0.53612120003518671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-1.063338394623238</c:v>
                </c:pt>
                <c:pt idx="53">
                  <c:v>-1.6324854007712697</c:v>
                </c:pt>
                <c:pt idx="54">
                  <c:v>1.3464043125559155E-2</c:v>
                </c:pt>
                <c:pt idx="55">
                  <c:v>-1.5578300796318612E-2</c:v>
                </c:pt>
                <c:pt idx="56">
                  <c:v>-5.3378005468889267E-3</c:v>
                </c:pt>
                <c:pt idx="57">
                  <c:v>-0.1444352763038862</c:v>
                </c:pt>
                <c:pt idx="58">
                  <c:v>-4.8769709159325769E-2</c:v>
                </c:pt>
                <c:pt idx="59">
                  <c:v>8.4691681245071981E-2</c:v>
                </c:pt>
                <c:pt idx="60">
                  <c:v>0.30722154091694298</c:v>
                </c:pt>
                <c:pt idx="61">
                  <c:v>-1.3159044743420494</c:v>
                </c:pt>
                <c:pt idx="62">
                  <c:v>-8.95677E-2</c:v>
                </c:pt>
                <c:pt idx="63">
                  <c:v>-0.34227787463690995</c:v>
                </c:pt>
                <c:pt idx="64">
                  <c:v>-3.3287529850907216E-3</c:v>
                </c:pt>
                <c:pt idx="65">
                  <c:v>6.3304394263719033E-4</c:v>
                </c:pt>
                <c:pt idx="66">
                  <c:v>-1.2215859235161997E-2</c:v>
                </c:pt>
                <c:pt idx="67">
                  <c:v>3.0813804634239883E-3</c:v>
                </c:pt>
                <c:pt idx="68">
                  <c:v>-2.5303862705161606E-7</c:v>
                </c:pt>
                <c:pt idx="69">
                  <c:v>-9.467409655505854E-4</c:v>
                </c:pt>
                <c:pt idx="70">
                  <c:v>-1.134770573838817E-3</c:v>
                </c:pt>
                <c:pt idx="71">
                  <c:v>-1.8576580602347459E-4</c:v>
                </c:pt>
                <c:pt idx="72">
                  <c:v>4.4551253944433711E-3</c:v>
                </c:pt>
                <c:pt idx="73">
                  <c:v>-1.4649580117529482E-3</c:v>
                </c:pt>
                <c:pt idx="74">
                  <c:v>-2.5352615719352878E-3</c:v>
                </c:pt>
                <c:pt idx="75">
                  <c:v>-4.8132639142894895E-4</c:v>
                </c:pt>
                <c:pt idx="76">
                  <c:v>-0.23729260541039809</c:v>
                </c:pt>
                <c:pt idx="77">
                  <c:v>0.15104314881519598</c:v>
                </c:pt>
                <c:pt idx="78">
                  <c:v>5.2742676068759931E-3</c:v>
                </c:pt>
                <c:pt idx="79">
                  <c:v>3.6698298005257701E-3</c:v>
                </c:pt>
                <c:pt idx="80">
                  <c:v>-7.1496490201060192E-2</c:v>
                </c:pt>
                <c:pt idx="81">
                  <c:v>-3.9894921944972128E-2</c:v>
                </c:pt>
                <c:pt idx="82">
                  <c:v>-1.5810315654475326E-2</c:v>
                </c:pt>
                <c:pt idx="83">
                  <c:v>-3.275577406732566E-2</c:v>
                </c:pt>
                <c:pt idx="84">
                  <c:v>-1.0479660567276339E-3</c:v>
                </c:pt>
                <c:pt idx="85">
                  <c:v>-2.3112604529973102E-2</c:v>
                </c:pt>
                <c:pt idx="86">
                  <c:v>-6.7358600587026474E-2</c:v>
                </c:pt>
                <c:pt idx="87">
                  <c:v>0.10406701371453098</c:v>
                </c:pt>
                <c:pt idx="88">
                  <c:v>-0.10934858116738688</c:v>
                </c:pt>
                <c:pt idx="89">
                  <c:v>0.17753113159586498</c:v>
                </c:pt>
                <c:pt idx="90">
                  <c:v>2.6109270890637859E-2</c:v>
                </c:pt>
                <c:pt idx="91">
                  <c:v>-6.6177462395394793E-2</c:v>
                </c:pt>
                <c:pt idx="92">
                  <c:v>-2.6021874785453813E-2</c:v>
                </c:pt>
                <c:pt idx="93">
                  <c:v>-3.1245807369486678E-2</c:v>
                </c:pt>
                <c:pt idx="94">
                  <c:v>-6.3052897118929252E-3</c:v>
                </c:pt>
                <c:pt idx="95">
                  <c:v>2.5059542256100631E-4</c:v>
                </c:pt>
                <c:pt idx="96">
                  <c:v>2.2968978642438964E-2</c:v>
                </c:pt>
                <c:pt idx="97">
                  <c:v>-4.3935586822488326E-2</c:v>
                </c:pt>
                <c:pt idx="98">
                  <c:v>7.9094552642067217E-4</c:v>
                </c:pt>
                <c:pt idx="99">
                  <c:v>-3.4345134537594468E-5</c:v>
                </c:pt>
                <c:pt idx="100">
                  <c:v>-5.6073555690618893E-3</c:v>
                </c:pt>
                <c:pt idx="101">
                  <c:v>1.6745321422932946E-3</c:v>
                </c:pt>
                <c:pt idx="102">
                  <c:v>-2.0825875117497228E-2</c:v>
                </c:pt>
                <c:pt idx="103">
                  <c:v>9.266824773745963E-3</c:v>
                </c:pt>
                <c:pt idx="104">
                  <c:v>-4.8331888738670781E-3</c:v>
                </c:pt>
                <c:pt idx="105">
                  <c:v>-1.7920437745910789E-3</c:v>
                </c:pt>
                <c:pt idx="106">
                  <c:v>7.1077427563615014E-4</c:v>
                </c:pt>
                <c:pt idx="107">
                  <c:v>-3.0151506072827461E-3</c:v>
                </c:pt>
                <c:pt idx="108">
                  <c:v>-1.3555786401280301E-3</c:v>
                </c:pt>
                <c:pt idx="109">
                  <c:v>5.948506043096824E-3</c:v>
                </c:pt>
                <c:pt idx="110">
                  <c:v>0.18149457639909994</c:v>
                </c:pt>
                <c:pt idx="111">
                  <c:v>5.7868490870694567E-2</c:v>
                </c:pt>
                <c:pt idx="112">
                  <c:v>3.4337998379100343E-3</c:v>
                </c:pt>
                <c:pt idx="113">
                  <c:v>4.4777137268455114E-2</c:v>
                </c:pt>
                <c:pt idx="114">
                  <c:v>0.1710226506198258</c:v>
                </c:pt>
                <c:pt idx="115">
                  <c:v>-0.19758851523811383</c:v>
                </c:pt>
                <c:pt idx="116">
                  <c:v>0.14343481308039396</c:v>
                </c:pt>
                <c:pt idx="117">
                  <c:v>9.0789948965053213E-4</c:v>
                </c:pt>
                <c:pt idx="118">
                  <c:v>1.0638543927171673E-3</c:v>
                </c:pt>
                <c:pt idx="119">
                  <c:v>2.8976117629724296E-3</c:v>
                </c:pt>
                <c:pt idx="120">
                  <c:v>-8.0520653393376662E-3</c:v>
                </c:pt>
                <c:pt idx="121">
                  <c:v>-0.15612970065130893</c:v>
                </c:pt>
                <c:pt idx="122">
                  <c:v>3.6922545089684844E-2</c:v>
                </c:pt>
                <c:pt idx="123">
                  <c:v>4.4673814288068048E-2</c:v>
                </c:pt>
                <c:pt idx="124">
                  <c:v>3.5662665405224225E-2</c:v>
                </c:pt>
                <c:pt idx="125">
                  <c:v>-6.7909390696818672E-4</c:v>
                </c:pt>
                <c:pt idx="126">
                  <c:v>7.3899058976009124E-3</c:v>
                </c:pt>
                <c:pt idx="127">
                  <c:v>2.0390125712910212E-4</c:v>
                </c:pt>
                <c:pt idx="128">
                  <c:v>-7.3449347877907467E-4</c:v>
                </c:pt>
                <c:pt idx="129">
                  <c:v>4.5020352872831015E-3</c:v>
                </c:pt>
                <c:pt idx="130">
                  <c:v>2.1227226379694208E-4</c:v>
                </c:pt>
                <c:pt idx="131">
                  <c:v>-1.9100451176571331E-3</c:v>
                </c:pt>
                <c:pt idx="132">
                  <c:v>-1.4210776254243163E-3</c:v>
                </c:pt>
                <c:pt idx="133">
                  <c:v>4.2262484013079193E-3</c:v>
                </c:pt>
                <c:pt idx="134">
                  <c:v>1.8103644036766675E-2</c:v>
                </c:pt>
                <c:pt idx="135">
                  <c:v>0.36260821907430474</c:v>
                </c:pt>
                <c:pt idx="136">
                  <c:v>1.8245329545012012E-2</c:v>
                </c:pt>
                <c:pt idx="137">
                  <c:v>2.3303519257503624E-2</c:v>
                </c:pt>
                <c:pt idx="138">
                  <c:v>-1.8040590775151522E-2</c:v>
                </c:pt>
                <c:pt idx="139">
                  <c:v>9.0921813517248484E-2</c:v>
                </c:pt>
                <c:pt idx="140">
                  <c:v>1.1071580644206325E-3</c:v>
                </c:pt>
                <c:pt idx="141">
                  <c:v>3.0754632144078808E-3</c:v>
                </c:pt>
                <c:pt idx="142">
                  <c:v>-3.9870516778428566E-4</c:v>
                </c:pt>
                <c:pt idx="143">
                  <c:v>-6.0191993347066264E-3</c:v>
                </c:pt>
                <c:pt idx="144">
                  <c:v>6.725676165697525E-5</c:v>
                </c:pt>
                <c:pt idx="145">
                  <c:v>-4.1876169562028442E-3</c:v>
                </c:pt>
                <c:pt idx="146">
                  <c:v>-3.3354587680256564E-4</c:v>
                </c:pt>
                <c:pt idx="147">
                  <c:v>1.0491112452577951</c:v>
                </c:pt>
                <c:pt idx="161">
                  <c:v>-1.1532528261992359E-2</c:v>
                </c:pt>
                <c:pt idx="162">
                  <c:v>0</c:v>
                </c:pt>
                <c:pt idx="163">
                  <c:v>8.8817841970012523E-16</c:v>
                </c:pt>
                <c:pt idx="164">
                  <c:v>2.0018810788983599E-2</c:v>
                </c:pt>
                <c:pt idx="165">
                  <c:v>0</c:v>
                </c:pt>
                <c:pt idx="166">
                  <c:v>0</c:v>
                </c:pt>
                <c:pt idx="167">
                  <c:v>2.1094237467877974E-15</c:v>
                </c:pt>
                <c:pt idx="168">
                  <c:v>0.18915177023288732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4-A743-9B30-205695FD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823680"/>
        <c:axId val="1979825472"/>
      </c:lineChart>
      <c:catAx>
        <c:axId val="197982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9825472"/>
        <c:crosses val="autoZero"/>
        <c:auto val="1"/>
        <c:lblAlgn val="ctr"/>
        <c:lblOffset val="100"/>
        <c:noMultiLvlLbl val="0"/>
      </c:catAx>
      <c:valAx>
        <c:axId val="19798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982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110489</xdr:colOff>
      <xdr:row>7</xdr:row>
      <xdr:rowOff>93595</xdr:rowOff>
    </xdr:from>
    <xdr:to>
      <xdr:col>20</xdr:col>
      <xdr:colOff>554989</xdr:colOff>
      <xdr:row>21</xdr:row>
      <xdr:rowOff>169795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965C730-AF9F-5848-80B6-7BFE1940C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17556</xdr:colOff>
      <xdr:row>25</xdr:row>
      <xdr:rowOff>34813</xdr:rowOff>
    </xdr:from>
    <xdr:to>
      <xdr:col>20</xdr:col>
      <xdr:colOff>458320</xdr:colOff>
      <xdr:row>38</xdr:row>
      <xdr:rowOff>136412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21531BD-7A26-332C-5C47-5E425C93A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812800</xdr:colOff>
      <xdr:row>42</xdr:row>
      <xdr:rowOff>88900</xdr:rowOff>
    </xdr:from>
    <xdr:to>
      <xdr:col>20</xdr:col>
      <xdr:colOff>355600</xdr:colOff>
      <xdr:row>55</xdr:row>
      <xdr:rowOff>190500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AE2741E-C859-2EC1-0F11-C90D2D09A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603250</xdr:colOff>
      <xdr:row>9</xdr:row>
      <xdr:rowOff>173567</xdr:rowOff>
    </xdr:from>
    <xdr:to>
      <xdr:col>21</xdr:col>
      <xdr:colOff>222250</xdr:colOff>
      <xdr:row>24</xdr:row>
      <xdr:rowOff>25401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2E656AA-1059-3749-A807-074AFCF31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691091</xdr:colOff>
      <xdr:row>26</xdr:row>
      <xdr:rowOff>114300</xdr:rowOff>
    </xdr:from>
    <xdr:to>
      <xdr:col>21</xdr:col>
      <xdr:colOff>310091</xdr:colOff>
      <xdr:row>40</xdr:row>
      <xdr:rowOff>12699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BABE448-9EBF-5D7E-82BE-5FC304187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692150</xdr:colOff>
      <xdr:row>41</xdr:row>
      <xdr:rowOff>152400</xdr:rowOff>
    </xdr:from>
    <xdr:to>
      <xdr:col>21</xdr:col>
      <xdr:colOff>311150</xdr:colOff>
      <xdr:row>55</xdr:row>
      <xdr:rowOff>50800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FDA8EDB-EC58-2FE9-CB51-E220FF805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aw%20data%20UPDATE/Updated%202026%20Series/cc_globalfactor_1992M72026M5.xlsx" TargetMode="External"/><Relationship Id="rId2" Type="http://schemas.openxmlformats.org/officeDocument/2006/relationships/externalLinkPath" Target="/Users/lorenzodelcol/Desktop/RA/GFU/REPLICATION%20DROPBOX%20(NEW)/Raw%20data%20UPDATE/Updated%202026%20Series/cc_globalfactor_1992M72026M5.xlsx" TargetMode="External"/><Relationship Id="rId1" Type="http://schemas.openxmlformats.org/officeDocument/2006/relationships/externalLinkPath" Target="/Users/lorenzodelcol/Desktop/RA/GFU/REPLICATION%20DROPBOX%20(NEW)/Raw%20data%20UPDATE/Updated%202026%20Series/cc_globalfactor_1992M72026M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A3" t="str">
            <v>01/08/1992</v>
          </cell>
          <cell r="F3">
            <v>0.23105897613916879</v>
          </cell>
        </row>
        <row r="4">
          <cell r="A4" t="str">
            <v>01/09/1992</v>
          </cell>
          <cell r="F4">
            <v>0.48215822306535411</v>
          </cell>
        </row>
        <row r="5">
          <cell r="A5" t="str">
            <v>01/10/1992</v>
          </cell>
          <cell r="F5">
            <v>0.41603528885032048</v>
          </cell>
        </row>
        <row r="6">
          <cell r="A6" t="str">
            <v>01/11/1992</v>
          </cell>
          <cell r="F6">
            <v>0.25165615210703041</v>
          </cell>
        </row>
        <row r="7">
          <cell r="A7" t="str">
            <v>01/12/1992</v>
          </cell>
          <cell r="F7">
            <v>0.25398781651576319</v>
          </cell>
        </row>
        <row r="8">
          <cell r="A8" t="str">
            <v>01/01/1993</v>
          </cell>
          <cell r="F8">
            <v>0.32639671138731979</v>
          </cell>
        </row>
        <row r="9">
          <cell r="A9" t="str">
            <v>01/02/1993</v>
          </cell>
          <cell r="F9">
            <v>0.37075412465830698</v>
          </cell>
        </row>
        <row r="10">
          <cell r="A10" t="str">
            <v>01/03/1993</v>
          </cell>
          <cell r="F10">
            <v>0.24241462314880169</v>
          </cell>
        </row>
        <row r="11">
          <cell r="A11" t="str">
            <v>01/04/1993</v>
          </cell>
          <cell r="F11">
            <v>0.27521208838150041</v>
          </cell>
        </row>
        <row r="12">
          <cell r="A12" t="str">
            <v>01/05/1993</v>
          </cell>
          <cell r="F12">
            <v>0.28544016593786581</v>
          </cell>
        </row>
        <row r="13">
          <cell r="A13" t="str">
            <v>01/06/1993</v>
          </cell>
          <cell r="F13">
            <v>0.1748343663046433</v>
          </cell>
        </row>
        <row r="14">
          <cell r="A14" t="str">
            <v>01/07/1993</v>
          </cell>
          <cell r="F14">
            <v>0.21893322299589699</v>
          </cell>
        </row>
        <row r="15">
          <cell r="A15" t="str">
            <v>01/08/1993</v>
          </cell>
          <cell r="F15">
            <v>0.27317927991508401</v>
          </cell>
        </row>
        <row r="16">
          <cell r="A16" t="str">
            <v>01/09/1993</v>
          </cell>
          <cell r="F16">
            <v>0.32580307266674591</v>
          </cell>
        </row>
        <row r="17">
          <cell r="A17" t="str">
            <v>01/10/1993</v>
          </cell>
          <cell r="F17">
            <v>0.35015017437070572</v>
          </cell>
        </row>
        <row r="18">
          <cell r="A18" t="str">
            <v>01/11/1993</v>
          </cell>
          <cell r="F18">
            <v>0.41903344582912588</v>
          </cell>
        </row>
        <row r="19">
          <cell r="A19" t="str">
            <v>01/12/1993</v>
          </cell>
          <cell r="F19">
            <v>0.31296704682673632</v>
          </cell>
        </row>
        <row r="20">
          <cell r="A20" t="str">
            <v>01/01/1994</v>
          </cell>
          <cell r="F20">
            <v>0.33238451705976391</v>
          </cell>
        </row>
        <row r="21">
          <cell r="A21" t="str">
            <v>01/02/1994</v>
          </cell>
          <cell r="F21">
            <v>0.35764945677835669</v>
          </cell>
        </row>
        <row r="22">
          <cell r="A22" t="str">
            <v>01/03/1994</v>
          </cell>
          <cell r="F22">
            <v>0.25064640617929029</v>
          </cell>
        </row>
        <row r="23">
          <cell r="A23" t="str">
            <v>01/04/1994</v>
          </cell>
          <cell r="F23">
            <v>0.37604959899043461</v>
          </cell>
        </row>
        <row r="24">
          <cell r="A24" t="str">
            <v>01/05/1994</v>
          </cell>
          <cell r="F24">
            <v>0.17821915675260391</v>
          </cell>
        </row>
        <row r="25">
          <cell r="A25" t="str">
            <v>01/06/1994</v>
          </cell>
          <cell r="F25">
            <v>0.33466992882930779</v>
          </cell>
        </row>
        <row r="26">
          <cell r="A26" t="str">
            <v>01/07/1994</v>
          </cell>
          <cell r="F26">
            <v>0.2167777417422555</v>
          </cell>
        </row>
        <row r="27">
          <cell r="A27" t="str">
            <v>01/08/1994</v>
          </cell>
          <cell r="F27">
            <v>0.22689676315354049</v>
          </cell>
        </row>
        <row r="28">
          <cell r="A28" t="str">
            <v>01/09/1994</v>
          </cell>
          <cell r="F28">
            <v>0.26971045225561108</v>
          </cell>
        </row>
        <row r="29">
          <cell r="A29" t="str">
            <v>01/10/1994</v>
          </cell>
          <cell r="F29">
            <v>0.18368610436266289</v>
          </cell>
        </row>
        <row r="30">
          <cell r="A30" t="str">
            <v>01/11/1994</v>
          </cell>
          <cell r="F30">
            <v>0.21926683998551019</v>
          </cell>
        </row>
        <row r="31">
          <cell r="A31" t="str">
            <v>01/12/1994</v>
          </cell>
          <cell r="F31">
            <v>0.1871872087258443</v>
          </cell>
        </row>
        <row r="32">
          <cell r="A32" t="str">
            <v>01/01/1995</v>
          </cell>
          <cell r="F32">
            <v>0.30010355508288789</v>
          </cell>
        </row>
        <row r="33">
          <cell r="A33" t="str">
            <v>01/02/1995</v>
          </cell>
          <cell r="F33">
            <v>0.2499697304653698</v>
          </cell>
        </row>
        <row r="34">
          <cell r="A34" t="str">
            <v>01/03/1995</v>
          </cell>
          <cell r="F34">
            <v>0.42702692186094782</v>
          </cell>
        </row>
        <row r="35">
          <cell r="A35" t="str">
            <v>01/04/1995</v>
          </cell>
          <cell r="F35">
            <v>0.25680421508427548</v>
          </cell>
        </row>
        <row r="36">
          <cell r="A36" t="str">
            <v>01/05/1995</v>
          </cell>
          <cell r="F36">
            <v>0.29791518945731099</v>
          </cell>
        </row>
        <row r="37">
          <cell r="A37" t="str">
            <v>01/06/1995</v>
          </cell>
          <cell r="F37">
            <v>0.2356677556791075</v>
          </cell>
        </row>
        <row r="38">
          <cell r="A38" t="str">
            <v>01/07/1995</v>
          </cell>
          <cell r="F38">
            <v>0.29404194588751797</v>
          </cell>
        </row>
        <row r="39">
          <cell r="A39" t="str">
            <v>01/08/1995</v>
          </cell>
          <cell r="F39">
            <v>0.28198959346102948</v>
          </cell>
        </row>
        <row r="40">
          <cell r="A40" t="str">
            <v>01/09/1995</v>
          </cell>
          <cell r="F40">
            <v>0.37975317217353322</v>
          </cell>
        </row>
        <row r="41">
          <cell r="A41" t="str">
            <v>01/10/1995</v>
          </cell>
          <cell r="F41">
            <v>0.58477451138239367</v>
          </cell>
        </row>
        <row r="42">
          <cell r="A42" t="str">
            <v>01/11/1995</v>
          </cell>
          <cell r="F42">
            <v>0.25018703244121793</v>
          </cell>
        </row>
        <row r="43">
          <cell r="A43" t="str">
            <v>01/12/1995</v>
          </cell>
          <cell r="F43">
            <v>0.28494128455292261</v>
          </cell>
        </row>
        <row r="44">
          <cell r="A44" t="str">
            <v>01/01/1996</v>
          </cell>
          <cell r="F44">
            <v>0.26236871958366542</v>
          </cell>
        </row>
        <row r="45">
          <cell r="A45" t="str">
            <v>01/02/1996</v>
          </cell>
          <cell r="F45">
            <v>0.21484627675409471</v>
          </cell>
        </row>
        <row r="46">
          <cell r="A46" t="str">
            <v>01/03/1996</v>
          </cell>
          <cell r="F46">
            <v>0.12256566548898459</v>
          </cell>
        </row>
        <row r="47">
          <cell r="A47" t="str">
            <v>01/04/1996</v>
          </cell>
          <cell r="F47">
            <v>0.17760209389047721</v>
          </cell>
        </row>
        <row r="48">
          <cell r="A48" t="str">
            <v>01/05/1996</v>
          </cell>
          <cell r="F48">
            <v>0.14164027360588541</v>
          </cell>
        </row>
        <row r="49">
          <cell r="A49" t="str">
            <v>01/06/1996</v>
          </cell>
          <cell r="F49">
            <v>0.15225615155658551</v>
          </cell>
        </row>
        <row r="50">
          <cell r="A50" t="str">
            <v>01/07/1996</v>
          </cell>
          <cell r="F50">
            <v>0.17899250384316909</v>
          </cell>
        </row>
        <row r="51">
          <cell r="A51" t="str">
            <v>01/08/1996</v>
          </cell>
          <cell r="F51">
            <v>0.14967573499018899</v>
          </cell>
        </row>
        <row r="52">
          <cell r="A52" t="str">
            <v>01/09/1996</v>
          </cell>
          <cell r="F52">
            <v>0.1238896599125501</v>
          </cell>
        </row>
        <row r="53">
          <cell r="A53" t="str">
            <v>01/10/1996</v>
          </cell>
          <cell r="F53">
            <v>0.14311313173537779</v>
          </cell>
        </row>
        <row r="54">
          <cell r="A54" t="str">
            <v>01/11/1996</v>
          </cell>
          <cell r="F54">
            <v>0.19138082460520001</v>
          </cell>
        </row>
        <row r="55">
          <cell r="A55" t="str">
            <v>01/12/1996</v>
          </cell>
          <cell r="F55">
            <v>0.24041202890237151</v>
          </cell>
        </row>
        <row r="56">
          <cell r="A56" t="str">
            <v>01/01/1997</v>
          </cell>
          <cell r="F56">
            <v>0.32682493255363809</v>
          </cell>
        </row>
        <row r="57">
          <cell r="A57" t="str">
            <v>01/02/1997</v>
          </cell>
          <cell r="F57">
            <v>0.2104765474492343</v>
          </cell>
        </row>
        <row r="58">
          <cell r="A58" t="str">
            <v>01/03/1997</v>
          </cell>
          <cell r="F58">
            <v>0.21735707709100741</v>
          </cell>
        </row>
        <row r="59">
          <cell r="A59" t="str">
            <v>01/04/1997</v>
          </cell>
          <cell r="F59">
            <v>0.1717948336140675</v>
          </cell>
        </row>
        <row r="60">
          <cell r="A60" t="str">
            <v>01/05/1997</v>
          </cell>
          <cell r="F60">
            <v>0.34771479888016421</v>
          </cell>
        </row>
        <row r="61">
          <cell r="A61" t="str">
            <v>01/06/1997</v>
          </cell>
          <cell r="F61">
            <v>0.30079897384618931</v>
          </cell>
        </row>
        <row r="62">
          <cell r="A62" t="str">
            <v>01/07/1997</v>
          </cell>
          <cell r="F62">
            <v>0.2027556071822019</v>
          </cell>
        </row>
        <row r="63">
          <cell r="A63" t="str">
            <v>01/08/1997</v>
          </cell>
          <cell r="F63">
            <v>0.27854226146209449</v>
          </cell>
        </row>
        <row r="64">
          <cell r="A64" t="str">
            <v>01/09/1997</v>
          </cell>
          <cell r="F64">
            <v>0.17951951268233721</v>
          </cell>
        </row>
        <row r="65">
          <cell r="A65" t="str">
            <v>01/10/1997</v>
          </cell>
          <cell r="F65">
            <v>0.2866987477674614</v>
          </cell>
        </row>
        <row r="66">
          <cell r="A66" t="str">
            <v>01/11/1997</v>
          </cell>
          <cell r="F66">
            <v>0.24214187178275901</v>
          </cell>
        </row>
        <row r="67">
          <cell r="A67" t="str">
            <v>01/12/1997</v>
          </cell>
          <cell r="F67">
            <v>0.22702265562140919</v>
          </cell>
        </row>
        <row r="68">
          <cell r="A68" t="str">
            <v>01/01/1998</v>
          </cell>
          <cell r="F68">
            <v>0.30210056798392559</v>
          </cell>
        </row>
        <row r="69">
          <cell r="A69" t="str">
            <v>01/02/1998</v>
          </cell>
          <cell r="F69">
            <v>0.37020247059078082</v>
          </cell>
        </row>
        <row r="70">
          <cell r="A70" t="str">
            <v>01/03/1998</v>
          </cell>
          <cell r="F70">
            <v>0.29667824827513289</v>
          </cell>
        </row>
        <row r="71">
          <cell r="A71" t="str">
            <v>01/04/1998</v>
          </cell>
          <cell r="F71">
            <v>0.23245017633619761</v>
          </cell>
        </row>
        <row r="72">
          <cell r="A72" t="str">
            <v>01/05/1998</v>
          </cell>
          <cell r="F72">
            <v>0.2418538221122894</v>
          </cell>
        </row>
        <row r="73">
          <cell r="A73" t="str">
            <v>01/06/1998</v>
          </cell>
          <cell r="F73">
            <v>0.22444419448312139</v>
          </cell>
        </row>
        <row r="74">
          <cell r="A74" t="str">
            <v>01/07/1998</v>
          </cell>
          <cell r="F74">
            <v>0.19623708819082339</v>
          </cell>
        </row>
        <row r="75">
          <cell r="A75" t="str">
            <v>01/08/1998</v>
          </cell>
          <cell r="F75">
            <v>0.41414190397980921</v>
          </cell>
        </row>
        <row r="76">
          <cell r="A76" t="str">
            <v>01/09/1998</v>
          </cell>
          <cell r="F76">
            <v>0.71685749729741355</v>
          </cell>
        </row>
        <row r="77">
          <cell r="A77" t="str">
            <v>01/10/1998</v>
          </cell>
          <cell r="F77">
            <v>0.60088727064360614</v>
          </cell>
        </row>
        <row r="78">
          <cell r="A78" t="str">
            <v>01/11/1998</v>
          </cell>
          <cell r="F78">
            <v>0.45479517368457661</v>
          </cell>
        </row>
        <row r="79">
          <cell r="A79" t="str">
            <v>01/12/1998</v>
          </cell>
          <cell r="F79">
            <v>0.26639840263661441</v>
          </cell>
        </row>
        <row r="80">
          <cell r="A80" t="str">
            <v>01/01/1999</v>
          </cell>
          <cell r="F80">
            <v>0.50315146113588194</v>
          </cell>
        </row>
        <row r="81">
          <cell r="A81" t="str">
            <v>01/02/1999</v>
          </cell>
          <cell r="F81">
            <v>0.44628562978686809</v>
          </cell>
        </row>
        <row r="82">
          <cell r="A82" t="str">
            <v>01/03/1999</v>
          </cell>
          <cell r="F82">
            <v>0.3601082273844789</v>
          </cell>
        </row>
        <row r="83">
          <cell r="A83" t="str">
            <v>01/04/1999</v>
          </cell>
          <cell r="F83">
            <v>0.3325705339046261</v>
          </cell>
        </row>
        <row r="84">
          <cell r="A84" t="str">
            <v>01/05/1999</v>
          </cell>
          <cell r="F84">
            <v>0.31918005871441968</v>
          </cell>
        </row>
        <row r="85">
          <cell r="A85" t="str">
            <v>01/06/1999</v>
          </cell>
          <cell r="F85">
            <v>0.36978228101975152</v>
          </cell>
        </row>
        <row r="86">
          <cell r="A86" t="str">
            <v>01/07/1999</v>
          </cell>
          <cell r="F86">
            <v>0.27016223043052812</v>
          </cell>
        </row>
        <row r="87">
          <cell r="A87" t="str">
            <v>01/08/1999</v>
          </cell>
          <cell r="F87">
            <v>0.41044218403410071</v>
          </cell>
        </row>
        <row r="88">
          <cell r="A88" t="str">
            <v>01/09/1999</v>
          </cell>
          <cell r="F88">
            <v>0.35154108278410212</v>
          </cell>
        </row>
        <row r="89">
          <cell r="A89" t="str">
            <v>01/10/1999</v>
          </cell>
          <cell r="F89">
            <v>0.27502224863850577</v>
          </cell>
        </row>
        <row r="90">
          <cell r="A90" t="str">
            <v>01/11/1999</v>
          </cell>
          <cell r="F90">
            <v>0.25850962394431848</v>
          </cell>
        </row>
        <row r="91">
          <cell r="A91" t="str">
            <v>01/12/1999</v>
          </cell>
          <cell r="F91">
            <v>0.28168619373371823</v>
          </cell>
        </row>
        <row r="92">
          <cell r="A92" t="str">
            <v>01/01/2000</v>
          </cell>
          <cell r="F92">
            <v>0.33673197034508778</v>
          </cell>
        </row>
        <row r="93">
          <cell r="A93" t="str">
            <v>01/02/2000</v>
          </cell>
          <cell r="F93">
            <v>0.31087069295782133</v>
          </cell>
        </row>
        <row r="94">
          <cell r="A94" t="str">
            <v>01/03/2000</v>
          </cell>
          <cell r="F94">
            <v>0.29042418805102338</v>
          </cell>
        </row>
        <row r="95">
          <cell r="A95" t="str">
            <v>01/04/2000</v>
          </cell>
          <cell r="F95">
            <v>0.31796420663943958</v>
          </cell>
        </row>
        <row r="96">
          <cell r="A96" t="str">
            <v>01/05/2000</v>
          </cell>
          <cell r="F96">
            <v>0.32374586055168192</v>
          </cell>
        </row>
        <row r="97">
          <cell r="A97" t="str">
            <v>01/06/2000</v>
          </cell>
          <cell r="F97">
            <v>0.30877265462539111</v>
          </cell>
        </row>
        <row r="98">
          <cell r="A98" t="str">
            <v>01/07/2000</v>
          </cell>
          <cell r="F98">
            <v>0.33056686546583092</v>
          </cell>
        </row>
        <row r="99">
          <cell r="A99" t="str">
            <v>01/08/2000</v>
          </cell>
          <cell r="F99">
            <v>0.32194428169183992</v>
          </cell>
        </row>
        <row r="100">
          <cell r="A100" t="str">
            <v>01/09/2000</v>
          </cell>
          <cell r="F100">
            <v>0.26807579048184849</v>
          </cell>
        </row>
        <row r="101">
          <cell r="A101" t="str">
            <v>01/10/2000</v>
          </cell>
          <cell r="F101">
            <v>0.30439711817134418</v>
          </cell>
        </row>
        <row r="102">
          <cell r="A102" t="str">
            <v>01/11/2000</v>
          </cell>
          <cell r="F102">
            <v>0.32501167904036282</v>
          </cell>
        </row>
        <row r="103">
          <cell r="A103" t="str">
            <v>01/12/2000</v>
          </cell>
          <cell r="F103">
            <v>0.32512902741129418</v>
          </cell>
        </row>
        <row r="104">
          <cell r="A104" t="str">
            <v>01/01/2001</v>
          </cell>
          <cell r="F104">
            <v>0.27065588472699881</v>
          </cell>
        </row>
        <row r="105">
          <cell r="A105" t="str">
            <v>01/02/2001</v>
          </cell>
          <cell r="F105">
            <v>0.34910416108250159</v>
          </cell>
        </row>
        <row r="106">
          <cell r="A106" t="str">
            <v>01/03/2001</v>
          </cell>
          <cell r="F106">
            <v>0.48044597493659258</v>
          </cell>
        </row>
        <row r="107">
          <cell r="A107" t="str">
            <v>01/04/2001</v>
          </cell>
          <cell r="F107">
            <v>0.51322453601076656</v>
          </cell>
        </row>
        <row r="108">
          <cell r="A108" t="str">
            <v>01/05/2001</v>
          </cell>
          <cell r="F108">
            <v>0.33651255071221298</v>
          </cell>
        </row>
        <row r="109">
          <cell r="A109" t="str">
            <v>01/06/2001</v>
          </cell>
          <cell r="F109">
            <v>0.40178973911064808</v>
          </cell>
        </row>
        <row r="110">
          <cell r="A110" t="str">
            <v>01/07/2001</v>
          </cell>
          <cell r="F110">
            <v>0.30049656036292449</v>
          </cell>
        </row>
        <row r="111">
          <cell r="A111" t="str">
            <v>01/08/2001</v>
          </cell>
          <cell r="F111">
            <v>0.34680579107091508</v>
          </cell>
        </row>
        <row r="112">
          <cell r="A112" t="str">
            <v>01/09/2001</v>
          </cell>
          <cell r="F112">
            <v>0.24518607893322589</v>
          </cell>
        </row>
        <row r="113">
          <cell r="A113" t="str">
            <v>01/10/2001</v>
          </cell>
          <cell r="F113">
            <v>0.31708502046571169</v>
          </cell>
        </row>
        <row r="114">
          <cell r="A114" t="str">
            <v>01/11/2001</v>
          </cell>
          <cell r="F114">
            <v>0.31818794635963499</v>
          </cell>
        </row>
        <row r="115">
          <cell r="A115" t="str">
            <v>01/12/2001</v>
          </cell>
          <cell r="F115">
            <v>0.33027432152454939</v>
          </cell>
        </row>
        <row r="116">
          <cell r="A116" t="str">
            <v>01/01/2002</v>
          </cell>
          <cell r="F116">
            <v>0.42542332965866048</v>
          </cell>
        </row>
        <row r="117">
          <cell r="A117" t="str">
            <v>01/02/2002</v>
          </cell>
          <cell r="F117">
            <v>0.27410794495947138</v>
          </cell>
        </row>
        <row r="118">
          <cell r="A118" t="str">
            <v>01/03/2002</v>
          </cell>
          <cell r="F118">
            <v>0.3140345743405617</v>
          </cell>
        </row>
        <row r="119">
          <cell r="A119" t="str">
            <v>01/04/2002</v>
          </cell>
          <cell r="F119">
            <v>0.25111478131821913</v>
          </cell>
        </row>
        <row r="120">
          <cell r="A120" t="str">
            <v>01/05/2002</v>
          </cell>
          <cell r="F120">
            <v>0.30113268427076861</v>
          </cell>
        </row>
        <row r="121">
          <cell r="A121" t="str">
            <v>01/06/2002</v>
          </cell>
          <cell r="F121">
            <v>0.37945975064223603</v>
          </cell>
        </row>
        <row r="122">
          <cell r="A122" t="str">
            <v>01/07/2002</v>
          </cell>
          <cell r="F122">
            <v>0.54160834438061844</v>
          </cell>
        </row>
        <row r="123">
          <cell r="A123" t="str">
            <v>01/08/2002</v>
          </cell>
          <cell r="F123">
            <v>0.39208144572539322</v>
          </cell>
        </row>
        <row r="124">
          <cell r="A124" t="str">
            <v>01/09/2002</v>
          </cell>
          <cell r="F124">
            <v>0.36854252849688152</v>
          </cell>
        </row>
        <row r="125">
          <cell r="A125" t="str">
            <v>01/10/2002</v>
          </cell>
          <cell r="F125">
            <v>0.27395559759135479</v>
          </cell>
        </row>
        <row r="126">
          <cell r="A126" t="str">
            <v>01/11/2002</v>
          </cell>
          <cell r="F126">
            <v>0.35300567539677619</v>
          </cell>
        </row>
        <row r="127">
          <cell r="A127" t="str">
            <v>01/12/2002</v>
          </cell>
          <cell r="F127">
            <v>0.37955345273978908</v>
          </cell>
        </row>
        <row r="128">
          <cell r="A128" t="str">
            <v>01/01/2003</v>
          </cell>
          <cell r="F128">
            <v>0.34535982050228381</v>
          </cell>
        </row>
        <row r="129">
          <cell r="A129" t="str">
            <v>01/02/2003</v>
          </cell>
          <cell r="F129">
            <v>0.34279445753693089</v>
          </cell>
        </row>
        <row r="130">
          <cell r="A130" t="str">
            <v>01/03/2003</v>
          </cell>
          <cell r="F130">
            <v>0.38473126373739608</v>
          </cell>
        </row>
        <row r="131">
          <cell r="A131" t="str">
            <v>01/04/2003</v>
          </cell>
          <cell r="F131">
            <v>0.46400042501860689</v>
          </cell>
        </row>
        <row r="132">
          <cell r="A132" t="str">
            <v>01/05/2003</v>
          </cell>
          <cell r="F132">
            <v>0.61208891022932632</v>
          </cell>
        </row>
        <row r="133">
          <cell r="A133" t="str">
            <v>01/06/2003</v>
          </cell>
          <cell r="F133">
            <v>0.77802304919240362</v>
          </cell>
        </row>
        <row r="134">
          <cell r="A134" t="str">
            <v>01/07/2003</v>
          </cell>
          <cell r="F134">
            <v>0.72615259180857394</v>
          </cell>
        </row>
        <row r="135">
          <cell r="A135" t="str">
            <v>01/08/2003</v>
          </cell>
          <cell r="F135">
            <v>0.54806593466535236</v>
          </cell>
        </row>
        <row r="136">
          <cell r="A136" t="str">
            <v>01/09/2003</v>
          </cell>
          <cell r="F136">
            <v>0.42123836751994859</v>
          </cell>
        </row>
        <row r="137">
          <cell r="A137" t="str">
            <v>01/10/2003</v>
          </cell>
          <cell r="F137">
            <v>0.52884933818160484</v>
          </cell>
        </row>
        <row r="138">
          <cell r="A138" t="str">
            <v>01/11/2003</v>
          </cell>
          <cell r="F138">
            <v>0.63766718042744708</v>
          </cell>
        </row>
        <row r="139">
          <cell r="A139" t="str">
            <v>01/12/2003</v>
          </cell>
          <cell r="F139">
            <v>0.67664338351949682</v>
          </cell>
        </row>
        <row r="140">
          <cell r="A140" t="str">
            <v>01/01/2004</v>
          </cell>
          <cell r="F140">
            <v>0.71740951997775293</v>
          </cell>
        </row>
        <row r="141">
          <cell r="A141" t="str">
            <v>01/02/2004</v>
          </cell>
          <cell r="F141">
            <v>0.54040014730194141</v>
          </cell>
        </row>
        <row r="142">
          <cell r="A142" t="str">
            <v>01/03/2004</v>
          </cell>
          <cell r="F142">
            <v>0.60754837574542708</v>
          </cell>
        </row>
        <row r="143">
          <cell r="A143" t="str">
            <v>01/04/2004</v>
          </cell>
          <cell r="F143">
            <v>0.40778409514504332</v>
          </cell>
        </row>
        <row r="144">
          <cell r="A144" t="str">
            <v>01/05/2004</v>
          </cell>
          <cell r="F144">
            <v>0.5094899472363974</v>
          </cell>
        </row>
        <row r="145">
          <cell r="A145" t="str">
            <v>01/06/2004</v>
          </cell>
          <cell r="F145">
            <v>0.49360783751823029</v>
          </cell>
        </row>
        <row r="146">
          <cell r="A146" t="str">
            <v>01/07/2004</v>
          </cell>
          <cell r="F146">
            <v>0.53019633234694619</v>
          </cell>
        </row>
        <row r="147">
          <cell r="A147" t="str">
            <v>01/08/2004</v>
          </cell>
          <cell r="F147">
            <v>0.59682315102444916</v>
          </cell>
        </row>
        <row r="148">
          <cell r="A148" t="str">
            <v>01/09/2004</v>
          </cell>
          <cell r="F148">
            <v>0.47310373944942719</v>
          </cell>
        </row>
        <row r="149">
          <cell r="A149" t="str">
            <v>01/10/2004</v>
          </cell>
          <cell r="F149">
            <v>0.49832771629215661</v>
          </cell>
        </row>
        <row r="150">
          <cell r="A150" t="str">
            <v>01/11/2004</v>
          </cell>
          <cell r="F150">
            <v>0.62442755071330702</v>
          </cell>
        </row>
        <row r="151">
          <cell r="A151" t="str">
            <v>01/12/2004</v>
          </cell>
          <cell r="F151">
            <v>0.69026111438391524</v>
          </cell>
        </row>
        <row r="152">
          <cell r="A152" t="str">
            <v>01/01/2005</v>
          </cell>
          <cell r="F152">
            <v>0.76340170383981298</v>
          </cell>
        </row>
        <row r="153">
          <cell r="A153" t="str">
            <v>01/02/2005</v>
          </cell>
          <cell r="F153">
            <v>0.50790808236615881</v>
          </cell>
        </row>
        <row r="154">
          <cell r="A154" t="str">
            <v>01/03/2005</v>
          </cell>
          <cell r="F154">
            <v>0.60762495998461497</v>
          </cell>
        </row>
        <row r="155">
          <cell r="A155" t="str">
            <v>01/04/2005</v>
          </cell>
          <cell r="F155">
            <v>0.36357071170353028</v>
          </cell>
        </row>
        <row r="156">
          <cell r="A156" t="str">
            <v>01/05/2005</v>
          </cell>
          <cell r="F156">
            <v>0.44650560735079342</v>
          </cell>
        </row>
        <row r="157">
          <cell r="A157" t="str">
            <v>01/06/2005</v>
          </cell>
          <cell r="F157">
            <v>0.42053533293360729</v>
          </cell>
        </row>
        <row r="158">
          <cell r="A158" t="str">
            <v>01/07/2005</v>
          </cell>
          <cell r="F158">
            <v>0.58521609951262377</v>
          </cell>
        </row>
        <row r="159">
          <cell r="A159" t="str">
            <v>01/08/2005</v>
          </cell>
          <cell r="F159">
            <v>0.49977780345060863</v>
          </cell>
        </row>
        <row r="160">
          <cell r="A160" t="str">
            <v>01/09/2005</v>
          </cell>
          <cell r="F160">
            <v>0.46917047455845939</v>
          </cell>
        </row>
        <row r="161">
          <cell r="A161" t="str">
            <v>01/10/2005</v>
          </cell>
          <cell r="F161">
            <v>0.50803893832817737</v>
          </cell>
        </row>
        <row r="162">
          <cell r="A162" t="str">
            <v>01/11/2005</v>
          </cell>
          <cell r="F162">
            <v>0.35829785923497381</v>
          </cell>
        </row>
        <row r="163">
          <cell r="A163" t="str">
            <v>01/12/2005</v>
          </cell>
          <cell r="F163">
            <v>0.42252066875392152</v>
          </cell>
        </row>
        <row r="164">
          <cell r="A164" t="str">
            <v>01/01/2006</v>
          </cell>
          <cell r="F164">
            <v>0.49092763096905212</v>
          </cell>
        </row>
        <row r="165">
          <cell r="A165" t="str">
            <v>01/02/2006</v>
          </cell>
          <cell r="F165">
            <v>0.4091218406160223</v>
          </cell>
        </row>
        <row r="166">
          <cell r="A166" t="str">
            <v>01/03/2006</v>
          </cell>
          <cell r="F166">
            <v>0.36654411797570818</v>
          </cell>
        </row>
        <row r="167">
          <cell r="A167" t="str">
            <v>01/04/2006</v>
          </cell>
          <cell r="F167">
            <v>0.32130652050797071</v>
          </cell>
        </row>
        <row r="168">
          <cell r="A168" t="str">
            <v>01/05/2006</v>
          </cell>
          <cell r="F168">
            <v>0.53399705859486724</v>
          </cell>
        </row>
        <row r="169">
          <cell r="A169" t="str">
            <v>01/06/2006</v>
          </cell>
          <cell r="F169">
            <v>0.71122520394436162</v>
          </cell>
        </row>
        <row r="170">
          <cell r="A170" t="str">
            <v>01/07/2006</v>
          </cell>
          <cell r="F170">
            <v>0.37701016521907038</v>
          </cell>
        </row>
        <row r="171">
          <cell r="A171" t="str">
            <v>01/08/2006</v>
          </cell>
          <cell r="F171">
            <v>0.36803154574908931</v>
          </cell>
        </row>
        <row r="172">
          <cell r="A172" t="str">
            <v>01/09/2006</v>
          </cell>
          <cell r="F172">
            <v>0.38320874857351678</v>
          </cell>
        </row>
        <row r="173">
          <cell r="A173" t="str">
            <v>01/10/2006</v>
          </cell>
          <cell r="F173">
            <v>0.34259651605994967</v>
          </cell>
        </row>
        <row r="174">
          <cell r="A174" t="str">
            <v>01/11/2006</v>
          </cell>
          <cell r="F174">
            <v>0.36994677884665522</v>
          </cell>
        </row>
        <row r="175">
          <cell r="A175" t="str">
            <v>01/12/2006</v>
          </cell>
          <cell r="F175">
            <v>0.29580001024141728</v>
          </cell>
        </row>
        <row r="176">
          <cell r="A176" t="str">
            <v>01/01/2007</v>
          </cell>
          <cell r="F176">
            <v>0.26166641734192669</v>
          </cell>
        </row>
        <row r="177">
          <cell r="A177" t="str">
            <v>01/02/2007</v>
          </cell>
          <cell r="F177">
            <v>0.41368701332601387</v>
          </cell>
        </row>
        <row r="178">
          <cell r="A178" t="str">
            <v>01/03/2007</v>
          </cell>
          <cell r="F178">
            <v>0.38518206173366759</v>
          </cell>
        </row>
        <row r="179">
          <cell r="A179" t="str">
            <v>01/04/2007</v>
          </cell>
          <cell r="F179">
            <v>0.37033064175340669</v>
          </cell>
        </row>
        <row r="180">
          <cell r="A180" t="str">
            <v>01/05/2007</v>
          </cell>
          <cell r="F180">
            <v>0.40511823329837099</v>
          </cell>
        </row>
        <row r="181">
          <cell r="A181" t="str">
            <v>01/06/2007</v>
          </cell>
          <cell r="F181">
            <v>0.42833915457807847</v>
          </cell>
        </row>
        <row r="182">
          <cell r="A182" t="str">
            <v>01/07/2007</v>
          </cell>
          <cell r="F182">
            <v>0.52456754441022291</v>
          </cell>
        </row>
        <row r="183">
          <cell r="A183" t="str">
            <v>01/08/2007</v>
          </cell>
          <cell r="F183">
            <v>0.58057867035752098</v>
          </cell>
        </row>
        <row r="184">
          <cell r="A184" t="str">
            <v>01/09/2007</v>
          </cell>
          <cell r="F184">
            <v>0.46534358431960238</v>
          </cell>
        </row>
        <row r="185">
          <cell r="A185" t="str">
            <v>01/10/2007</v>
          </cell>
          <cell r="F185">
            <v>0.71181331695565819</v>
          </cell>
        </row>
        <row r="186">
          <cell r="A186" t="str">
            <v>01/11/2007</v>
          </cell>
          <cell r="F186">
            <v>1.0031377967947619</v>
          </cell>
        </row>
        <row r="187">
          <cell r="A187" t="str">
            <v>01/12/2007</v>
          </cell>
          <cell r="F187">
            <v>0.58689075171915972</v>
          </cell>
        </row>
        <row r="188">
          <cell r="A188" t="str">
            <v>01/01/2008</v>
          </cell>
          <cell r="F188">
            <v>0.67504789961035172</v>
          </cell>
        </row>
        <row r="189">
          <cell r="A189" t="str">
            <v>01/02/2008</v>
          </cell>
          <cell r="F189">
            <v>0.85821241007472693</v>
          </cell>
        </row>
        <row r="190">
          <cell r="A190" t="str">
            <v>01/03/2008</v>
          </cell>
          <cell r="F190">
            <v>0.76021112368640809</v>
          </cell>
        </row>
        <row r="191">
          <cell r="A191" t="str">
            <v>01/04/2008</v>
          </cell>
          <cell r="F191">
            <v>0.64981316398577238</v>
          </cell>
        </row>
        <row r="192">
          <cell r="A192" t="str">
            <v>01/05/2008</v>
          </cell>
          <cell r="F192">
            <v>0.56907335422113425</v>
          </cell>
        </row>
        <row r="193">
          <cell r="A193" t="str">
            <v>01/06/2008</v>
          </cell>
          <cell r="F193">
            <v>0.46283421656418577</v>
          </cell>
        </row>
        <row r="194">
          <cell r="A194" t="str">
            <v>01/07/2008</v>
          </cell>
          <cell r="F194">
            <v>0.44704332115911749</v>
          </cell>
        </row>
        <row r="195">
          <cell r="A195" t="str">
            <v>01/08/2008</v>
          </cell>
          <cell r="F195">
            <v>0.62811319465949744</v>
          </cell>
        </row>
        <row r="196">
          <cell r="A196" t="str">
            <v>01/09/2008</v>
          </cell>
          <cell r="F196">
            <v>0.8791420589928437</v>
          </cell>
        </row>
        <row r="197">
          <cell r="A197" t="str">
            <v>01/10/2008</v>
          </cell>
          <cell r="F197">
            <v>1.80155173590267</v>
          </cell>
        </row>
        <row r="198">
          <cell r="A198" t="str">
            <v>01/11/2008</v>
          </cell>
          <cell r="F198">
            <v>1.901272101155117</v>
          </cell>
        </row>
        <row r="199">
          <cell r="A199" t="str">
            <v>01/12/2008</v>
          </cell>
          <cell r="F199">
            <v>1.5009832178781179</v>
          </cell>
        </row>
        <row r="200">
          <cell r="A200" t="str">
            <v>01/01/2009</v>
          </cell>
          <cell r="F200">
            <v>1.1626620932986931</v>
          </cell>
        </row>
        <row r="201">
          <cell r="A201" t="str">
            <v>01/02/2009</v>
          </cell>
          <cell r="F201">
            <v>0.835349188731912</v>
          </cell>
        </row>
        <row r="202">
          <cell r="A202" t="str">
            <v>01/03/2009</v>
          </cell>
          <cell r="F202">
            <v>1.036324672958014</v>
          </cell>
        </row>
        <row r="203">
          <cell r="A203" t="str">
            <v>01/04/2009</v>
          </cell>
          <cell r="F203">
            <v>0.92728393437336742</v>
          </cell>
        </row>
        <row r="204">
          <cell r="A204" t="str">
            <v>01/05/2009</v>
          </cell>
          <cell r="F204">
            <v>0.61169718210753121</v>
          </cell>
        </row>
        <row r="205">
          <cell r="A205" t="str">
            <v>01/06/2009</v>
          </cell>
          <cell r="F205">
            <v>1.0090510109866671</v>
          </cell>
        </row>
        <row r="206">
          <cell r="A206" t="str">
            <v>01/07/2009</v>
          </cell>
          <cell r="F206">
            <v>0.72371430456191765</v>
          </cell>
        </row>
        <row r="207">
          <cell r="A207" t="str">
            <v>01/08/2009</v>
          </cell>
          <cell r="F207">
            <v>0.92242658150813461</v>
          </cell>
        </row>
        <row r="208">
          <cell r="A208" t="str">
            <v>01/09/2009</v>
          </cell>
          <cell r="F208">
            <v>0.7942097965946302</v>
          </cell>
        </row>
        <row r="209">
          <cell r="A209" t="str">
            <v>01/10/2009</v>
          </cell>
          <cell r="F209">
            <v>0.88144182774708124</v>
          </cell>
        </row>
        <row r="210">
          <cell r="A210" t="str">
            <v>01/11/2009</v>
          </cell>
          <cell r="F210">
            <v>0.78847684143230312</v>
          </cell>
        </row>
        <row r="211">
          <cell r="A211" t="str">
            <v>01/12/2009</v>
          </cell>
          <cell r="F211">
            <v>0.6480747356339881</v>
          </cell>
        </row>
        <row r="212">
          <cell r="A212" t="str">
            <v>01/01/2010</v>
          </cell>
          <cell r="F212">
            <v>0.55592996649365978</v>
          </cell>
        </row>
        <row r="213">
          <cell r="A213" t="str">
            <v>01/02/2010</v>
          </cell>
          <cell r="F213">
            <v>0.68723548208128971</v>
          </cell>
        </row>
        <row r="214">
          <cell r="A214" t="str">
            <v>01/03/2010</v>
          </cell>
          <cell r="F214">
            <v>0.52891928891476492</v>
          </cell>
        </row>
        <row r="215">
          <cell r="A215" t="str">
            <v>01/04/2010</v>
          </cell>
          <cell r="F215">
            <v>0.78463194843003425</v>
          </cell>
        </row>
        <row r="216">
          <cell r="A216" t="str">
            <v>01/05/2010</v>
          </cell>
          <cell r="F216">
            <v>1.083946760776944</v>
          </cell>
        </row>
        <row r="217">
          <cell r="A217" t="str">
            <v>01/06/2010</v>
          </cell>
          <cell r="F217">
            <v>0.77845149470085062</v>
          </cell>
        </row>
        <row r="218">
          <cell r="A218" t="str">
            <v>01/07/2010</v>
          </cell>
          <cell r="F218">
            <v>0.67920981086028487</v>
          </cell>
        </row>
        <row r="219">
          <cell r="A219" t="str">
            <v>01/08/2010</v>
          </cell>
          <cell r="F219">
            <v>0.65530909954162364</v>
          </cell>
        </row>
        <row r="220">
          <cell r="A220" t="str">
            <v>01/09/2010</v>
          </cell>
          <cell r="F220">
            <v>0.5108818440486822</v>
          </cell>
        </row>
        <row r="221">
          <cell r="A221" t="str">
            <v>01/10/2010</v>
          </cell>
          <cell r="F221">
            <v>0.6831165720960185</v>
          </cell>
        </row>
        <row r="222">
          <cell r="A222" t="str">
            <v>01/11/2010</v>
          </cell>
          <cell r="F222">
            <v>0.61508236890647516</v>
          </cell>
        </row>
        <row r="223">
          <cell r="A223" t="str">
            <v>01/12/2010</v>
          </cell>
          <cell r="F223">
            <v>0.43560717268548121</v>
          </cell>
        </row>
        <row r="224">
          <cell r="A224" t="str">
            <v>01/01/2011</v>
          </cell>
          <cell r="F224">
            <v>0.44041752782300608</v>
          </cell>
        </row>
        <row r="225">
          <cell r="A225" t="str">
            <v>01/02/2011</v>
          </cell>
          <cell r="F225">
            <v>0.41475607546042031</v>
          </cell>
        </row>
        <row r="226">
          <cell r="A226" t="str">
            <v>01/03/2011</v>
          </cell>
          <cell r="F226">
            <v>0.42614951839891052</v>
          </cell>
        </row>
        <row r="227">
          <cell r="A227" t="str">
            <v>01/04/2011</v>
          </cell>
          <cell r="F227">
            <v>0.49795913901334088</v>
          </cell>
        </row>
        <row r="228">
          <cell r="A228" t="str">
            <v>01/05/2011</v>
          </cell>
          <cell r="F228">
            <v>0.52016414726376614</v>
          </cell>
        </row>
        <row r="229">
          <cell r="A229" t="str">
            <v>01/06/2011</v>
          </cell>
          <cell r="F229">
            <v>0.58793503957001103</v>
          </cell>
        </row>
        <row r="230">
          <cell r="A230" t="str">
            <v>01/07/2011</v>
          </cell>
          <cell r="F230">
            <v>0.51453066623416799</v>
          </cell>
        </row>
        <row r="231">
          <cell r="A231" t="str">
            <v>01/08/2011</v>
          </cell>
          <cell r="F231">
            <v>0.5010160713359546</v>
          </cell>
        </row>
        <row r="232">
          <cell r="A232" t="str">
            <v>01/09/2011</v>
          </cell>
          <cell r="F232">
            <v>0.95493192990527098</v>
          </cell>
        </row>
        <row r="233">
          <cell r="A233" t="str">
            <v>01/10/2011</v>
          </cell>
          <cell r="F233">
            <v>0.84274972436231499</v>
          </cell>
        </row>
        <row r="234">
          <cell r="A234" t="str">
            <v>01/11/2011</v>
          </cell>
          <cell r="F234">
            <v>0.83056115104181161</v>
          </cell>
        </row>
        <row r="235">
          <cell r="A235" t="str">
            <v>01/12/2011</v>
          </cell>
          <cell r="F235">
            <v>0.48025356623155763</v>
          </cell>
        </row>
        <row r="236">
          <cell r="A236" t="str">
            <v>01/01/2012</v>
          </cell>
          <cell r="F236">
            <v>0.57473955379356467</v>
          </cell>
        </row>
        <row r="237">
          <cell r="A237" t="str">
            <v>01/02/2012</v>
          </cell>
          <cell r="F237">
            <v>0.34501413780865792</v>
          </cell>
        </row>
        <row r="238">
          <cell r="A238" t="str">
            <v>01/03/2012</v>
          </cell>
          <cell r="F238">
            <v>0.41712374277670272</v>
          </cell>
        </row>
        <row r="239">
          <cell r="A239" t="str">
            <v>01/04/2012</v>
          </cell>
          <cell r="F239">
            <v>0.54895070368911369</v>
          </cell>
        </row>
        <row r="240">
          <cell r="A240" t="str">
            <v>01/05/2012</v>
          </cell>
          <cell r="F240">
            <v>0.41279653796840188</v>
          </cell>
        </row>
        <row r="241">
          <cell r="A241" t="str">
            <v>01/06/2012</v>
          </cell>
          <cell r="F241">
            <v>0.56792129850536321</v>
          </cell>
        </row>
        <row r="242">
          <cell r="A242" t="str">
            <v>01/07/2012</v>
          </cell>
          <cell r="F242">
            <v>0.37999829340716978</v>
          </cell>
        </row>
        <row r="243">
          <cell r="A243" t="str">
            <v>01/08/2012</v>
          </cell>
          <cell r="F243">
            <v>0.32146001406943059</v>
          </cell>
        </row>
        <row r="244">
          <cell r="A244" t="str">
            <v>01/09/2012</v>
          </cell>
          <cell r="F244">
            <v>0.37818841706220729</v>
          </cell>
        </row>
        <row r="245">
          <cell r="A245" t="str">
            <v>01/10/2012</v>
          </cell>
          <cell r="F245">
            <v>0.39591972867403802</v>
          </cell>
        </row>
        <row r="246">
          <cell r="A246" t="str">
            <v>01/11/2012</v>
          </cell>
          <cell r="F246">
            <v>0.2326755889552696</v>
          </cell>
        </row>
        <row r="247">
          <cell r="A247" t="str">
            <v>01/12/2012</v>
          </cell>
          <cell r="F247">
            <v>0.19796696090322999</v>
          </cell>
        </row>
        <row r="248">
          <cell r="A248" t="str">
            <v>01/01/2013</v>
          </cell>
          <cell r="F248">
            <v>0.35882161709735472</v>
          </cell>
        </row>
        <row r="249">
          <cell r="A249" t="str">
            <v>01/02/2013</v>
          </cell>
          <cell r="F249">
            <v>0.28420414597596938</v>
          </cell>
        </row>
        <row r="250">
          <cell r="A250" t="str">
            <v>01/03/2013</v>
          </cell>
          <cell r="F250">
            <v>0.2464455257744804</v>
          </cell>
        </row>
        <row r="251">
          <cell r="A251" t="str">
            <v>01/04/2013</v>
          </cell>
          <cell r="F251">
            <v>0.34592108945996142</v>
          </cell>
        </row>
        <row r="252">
          <cell r="A252" t="str">
            <v>01/05/2013</v>
          </cell>
          <cell r="F252">
            <v>0.37362012638382691</v>
          </cell>
        </row>
        <row r="253">
          <cell r="A253" t="str">
            <v>01/06/2013</v>
          </cell>
          <cell r="F253">
            <v>0.60341264384345539</v>
          </cell>
        </row>
        <row r="254">
          <cell r="A254" t="str">
            <v>01/07/2013</v>
          </cell>
          <cell r="F254">
            <v>0.33269853816948192</v>
          </cell>
        </row>
        <row r="255">
          <cell r="A255" t="str">
            <v>01/08/2013</v>
          </cell>
          <cell r="F255">
            <v>0.34098207085455051</v>
          </cell>
        </row>
        <row r="256">
          <cell r="A256" t="str">
            <v>01/09/2013</v>
          </cell>
          <cell r="F256">
            <v>0.33932394102229019</v>
          </cell>
        </row>
        <row r="257">
          <cell r="A257" t="str">
            <v>01/10/2013</v>
          </cell>
          <cell r="F257">
            <v>0.32676368157661428</v>
          </cell>
        </row>
        <row r="258">
          <cell r="A258" t="str">
            <v>01/11/2013</v>
          </cell>
          <cell r="F258">
            <v>0.28642323083555049</v>
          </cell>
        </row>
        <row r="259">
          <cell r="A259" t="str">
            <v>01/12/2013</v>
          </cell>
          <cell r="F259">
            <v>0.34411647073834101</v>
          </cell>
        </row>
        <row r="260">
          <cell r="A260" t="str">
            <v>01/01/2014</v>
          </cell>
          <cell r="F260">
            <v>0.40156158421302968</v>
          </cell>
        </row>
        <row r="261">
          <cell r="A261" t="str">
            <v>01/02/2014</v>
          </cell>
          <cell r="F261">
            <v>0.3891960586326545</v>
          </cell>
        </row>
        <row r="262">
          <cell r="A262" t="str">
            <v>01/03/2014</v>
          </cell>
          <cell r="F262">
            <v>0.51955207395582403</v>
          </cell>
        </row>
        <row r="263">
          <cell r="A263" t="str">
            <v>01/04/2014</v>
          </cell>
          <cell r="F263">
            <v>0.2690873900150566</v>
          </cell>
        </row>
        <row r="264">
          <cell r="A264" t="str">
            <v>01/05/2014</v>
          </cell>
          <cell r="F264">
            <v>0.24664058091187371</v>
          </cell>
        </row>
        <row r="265">
          <cell r="A265" t="str">
            <v>01/06/2014</v>
          </cell>
          <cell r="F265">
            <v>0.23104477198585341</v>
          </cell>
        </row>
        <row r="266">
          <cell r="A266" t="str">
            <v>01/07/2014</v>
          </cell>
          <cell r="F266">
            <v>0.2808324925767483</v>
          </cell>
        </row>
        <row r="267">
          <cell r="A267" t="str">
            <v>01/08/2014</v>
          </cell>
          <cell r="F267">
            <v>0.29738323627961172</v>
          </cell>
        </row>
        <row r="268">
          <cell r="A268" t="str">
            <v>01/09/2014</v>
          </cell>
          <cell r="F268">
            <v>0.40080091857862138</v>
          </cell>
        </row>
        <row r="269">
          <cell r="A269" t="str">
            <v>01/10/2014</v>
          </cell>
          <cell r="F269">
            <v>0.43001978152462511</v>
          </cell>
        </row>
        <row r="270">
          <cell r="A270" t="str">
            <v>01/11/2014</v>
          </cell>
          <cell r="F270">
            <v>0.54690430654381217</v>
          </cell>
        </row>
        <row r="271">
          <cell r="A271" t="str">
            <v>01/12/2014</v>
          </cell>
          <cell r="F271">
            <v>0.35492862880164328</v>
          </cell>
        </row>
        <row r="272">
          <cell r="A272" t="str">
            <v>01/01/2015</v>
          </cell>
          <cell r="F272">
            <v>0.62012402558158397</v>
          </cell>
        </row>
        <row r="273">
          <cell r="A273" t="str">
            <v>01/02/2015</v>
          </cell>
          <cell r="F273">
            <v>0.76438397608954423</v>
          </cell>
        </row>
        <row r="274">
          <cell r="A274" t="str">
            <v>01/03/2015</v>
          </cell>
          <cell r="F274">
            <v>0.59654234362055891</v>
          </cell>
        </row>
        <row r="275">
          <cell r="A275" t="str">
            <v>01/04/2015</v>
          </cell>
          <cell r="F275">
            <v>0.63222958731361611</v>
          </cell>
        </row>
        <row r="276">
          <cell r="A276" t="str">
            <v>01/05/2015</v>
          </cell>
          <cell r="F276">
            <v>0.59855582327344548</v>
          </cell>
        </row>
        <row r="277">
          <cell r="A277" t="str">
            <v>01/06/2015</v>
          </cell>
          <cell r="F277">
            <v>0.50836888132768943</v>
          </cell>
        </row>
        <row r="278">
          <cell r="A278" t="str">
            <v>01/07/2015</v>
          </cell>
          <cell r="F278">
            <v>0.48992863809389497</v>
          </cell>
        </row>
        <row r="279">
          <cell r="A279" t="str">
            <v>01/08/2015</v>
          </cell>
          <cell r="F279">
            <v>0.58971644898607845</v>
          </cell>
        </row>
        <row r="280">
          <cell r="A280" t="str">
            <v>01/09/2015</v>
          </cell>
          <cell r="F280">
            <v>0.44081655034811817</v>
          </cell>
        </row>
        <row r="281">
          <cell r="A281" t="str">
            <v>01/10/2015</v>
          </cell>
          <cell r="F281">
            <v>0.56649677683740141</v>
          </cell>
        </row>
        <row r="282">
          <cell r="A282" t="str">
            <v>01/11/2015</v>
          </cell>
          <cell r="F282">
            <v>0.36968046897254719</v>
          </cell>
        </row>
        <row r="283">
          <cell r="A283" t="str">
            <v>01/12/2015</v>
          </cell>
          <cell r="F283">
            <v>0.49656006201611352</v>
          </cell>
        </row>
        <row r="284">
          <cell r="A284" t="str">
            <v>01/01/2016</v>
          </cell>
          <cell r="F284">
            <v>0.78572120808366119</v>
          </cell>
        </row>
        <row r="285">
          <cell r="A285" t="str">
            <v>01/02/2016</v>
          </cell>
          <cell r="F285">
            <v>0.71916137398358637</v>
          </cell>
        </row>
        <row r="286">
          <cell r="A286" t="str">
            <v>01/03/2016</v>
          </cell>
          <cell r="F286">
            <v>0.91624451737870316</v>
          </cell>
        </row>
        <row r="287">
          <cell r="A287" t="str">
            <v>01/04/2016</v>
          </cell>
          <cell r="F287">
            <v>0.64090160173264143</v>
          </cell>
        </row>
        <row r="288">
          <cell r="A288" t="str">
            <v>01/05/2016</v>
          </cell>
          <cell r="F288">
            <v>0.64507374765599945</v>
          </cell>
        </row>
        <row r="289">
          <cell r="A289" t="str">
            <v>01/06/2016</v>
          </cell>
          <cell r="F289">
            <v>0.69773587134391746</v>
          </cell>
        </row>
        <row r="290">
          <cell r="A290" t="str">
            <v>01/07/2016</v>
          </cell>
          <cell r="F290">
            <v>0.51165407315141032</v>
          </cell>
        </row>
        <row r="291">
          <cell r="A291" t="str">
            <v>01/08/2016</v>
          </cell>
          <cell r="F291">
            <v>0.48317145204412199</v>
          </cell>
        </row>
        <row r="292">
          <cell r="A292" t="str">
            <v>01/09/2016</v>
          </cell>
          <cell r="F292">
            <v>0.61796070057511798</v>
          </cell>
        </row>
        <row r="293">
          <cell r="A293" t="str">
            <v>01/10/2016</v>
          </cell>
          <cell r="F293">
            <v>0.4005127915971704</v>
          </cell>
        </row>
        <row r="294">
          <cell r="A294" t="str">
            <v>01/11/2016</v>
          </cell>
          <cell r="F294">
            <v>0.4380617057779192</v>
          </cell>
        </row>
        <row r="295">
          <cell r="A295" t="str">
            <v>01/12/2016</v>
          </cell>
          <cell r="F295">
            <v>0.56443634657228703</v>
          </cell>
        </row>
        <row r="296">
          <cell r="A296" t="str">
            <v>01/01/2017</v>
          </cell>
          <cell r="F296">
            <v>0.52152964625420528</v>
          </cell>
        </row>
        <row r="297">
          <cell r="A297" t="str">
            <v>01/02/2017</v>
          </cell>
          <cell r="F297">
            <v>0.43403384329389222</v>
          </cell>
        </row>
        <row r="298">
          <cell r="A298" t="str">
            <v>01/03/2017</v>
          </cell>
          <cell r="F298">
            <v>0.37174207488470129</v>
          </cell>
        </row>
        <row r="299">
          <cell r="A299" t="str">
            <v>01/04/2017</v>
          </cell>
          <cell r="F299">
            <v>0.35326340021536939</v>
          </cell>
        </row>
        <row r="300">
          <cell r="A300" t="str">
            <v>01/05/2017</v>
          </cell>
          <cell r="F300">
            <v>0.29305923431844949</v>
          </cell>
        </row>
        <row r="301">
          <cell r="A301" t="str">
            <v>01/06/2017</v>
          </cell>
          <cell r="F301">
            <v>0.51044193123321524</v>
          </cell>
        </row>
        <row r="302">
          <cell r="A302" t="str">
            <v>01/07/2017</v>
          </cell>
          <cell r="F302">
            <v>0.39333069467082549</v>
          </cell>
        </row>
        <row r="303">
          <cell r="A303" t="str">
            <v>01/08/2017</v>
          </cell>
          <cell r="F303">
            <v>0.36322304160846719</v>
          </cell>
        </row>
        <row r="304">
          <cell r="A304" t="str">
            <v>01/09/2017</v>
          </cell>
          <cell r="F304">
            <v>0.4699827738507063</v>
          </cell>
        </row>
        <row r="305">
          <cell r="A305" t="str">
            <v>01/10/2017</v>
          </cell>
          <cell r="F305">
            <v>0.42525518853732752</v>
          </cell>
        </row>
        <row r="306">
          <cell r="A306" t="str">
            <v>01/11/2017</v>
          </cell>
          <cell r="F306">
            <v>0.32994862383376522</v>
          </cell>
        </row>
        <row r="307">
          <cell r="A307" t="str">
            <v>01/12/2017</v>
          </cell>
          <cell r="F307">
            <v>0.48614608971223922</v>
          </cell>
        </row>
        <row r="308">
          <cell r="A308" t="str">
            <v>01/01/2018</v>
          </cell>
          <cell r="F308">
            <v>0.35325850598699959</v>
          </cell>
        </row>
        <row r="309">
          <cell r="A309" t="str">
            <v>01/02/2018</v>
          </cell>
          <cell r="F309">
            <v>0.3681526530953369</v>
          </cell>
        </row>
        <row r="310">
          <cell r="A310" t="str">
            <v>01/03/2018</v>
          </cell>
          <cell r="F310">
            <v>0.51243120011908661</v>
          </cell>
        </row>
        <row r="311">
          <cell r="A311" t="str">
            <v>01/04/2018</v>
          </cell>
          <cell r="F311">
            <v>0.44487877126674158</v>
          </cell>
        </row>
        <row r="312">
          <cell r="A312" t="str">
            <v>01/05/2018</v>
          </cell>
          <cell r="F312">
            <v>0.60045886885037547</v>
          </cell>
        </row>
        <row r="313">
          <cell r="A313" t="str">
            <v>01/06/2018</v>
          </cell>
          <cell r="F313">
            <v>0.4497229721505025</v>
          </cell>
        </row>
        <row r="314">
          <cell r="A314" t="str">
            <v>01/07/2018</v>
          </cell>
          <cell r="F314">
            <v>0.3432534318022058</v>
          </cell>
        </row>
        <row r="315">
          <cell r="A315" t="str">
            <v>01/08/2018</v>
          </cell>
          <cell r="F315">
            <v>0.31735701540772132</v>
          </cell>
        </row>
        <row r="316">
          <cell r="A316" t="str">
            <v>01/09/2018</v>
          </cell>
          <cell r="F316">
            <v>0.40633591982140832</v>
          </cell>
        </row>
        <row r="317">
          <cell r="A317" t="str">
            <v>01/10/2018</v>
          </cell>
          <cell r="F317">
            <v>0.39532742375956842</v>
          </cell>
        </row>
        <row r="318">
          <cell r="A318" t="str">
            <v>01/11/2018</v>
          </cell>
          <cell r="F318">
            <v>0.2976030522597945</v>
          </cell>
        </row>
        <row r="319">
          <cell r="A319" t="str">
            <v>01/12/2018</v>
          </cell>
          <cell r="F319">
            <v>0.5274399191830248</v>
          </cell>
        </row>
        <row r="320">
          <cell r="A320" t="str">
            <v>01/01/2019</v>
          </cell>
          <cell r="F320">
            <v>0.38168799784726792</v>
          </cell>
        </row>
        <row r="321">
          <cell r="A321" t="str">
            <v>01/02/2019</v>
          </cell>
          <cell r="F321">
            <v>0.32486862307877129</v>
          </cell>
        </row>
        <row r="322">
          <cell r="A322" t="str">
            <v>01/03/2019</v>
          </cell>
          <cell r="F322">
            <v>0.34673494140765082</v>
          </cell>
        </row>
        <row r="323">
          <cell r="A323" t="str">
            <v>01/04/2019</v>
          </cell>
          <cell r="F323">
            <v>0.27613285336127269</v>
          </cell>
        </row>
        <row r="324">
          <cell r="A324" t="str">
            <v>01/05/2019</v>
          </cell>
          <cell r="F324">
            <v>0.25097908807814118</v>
          </cell>
        </row>
        <row r="325">
          <cell r="A325" t="str">
            <v>01/06/2019</v>
          </cell>
          <cell r="F325">
            <v>0.34811891665821421</v>
          </cell>
        </row>
        <row r="326">
          <cell r="A326" t="str">
            <v>01/07/2019</v>
          </cell>
          <cell r="F326">
            <v>0.2118303860195293</v>
          </cell>
        </row>
        <row r="327">
          <cell r="A327" t="str">
            <v>01/08/2019</v>
          </cell>
          <cell r="F327">
            <v>0.32826649867355401</v>
          </cell>
        </row>
        <row r="328">
          <cell r="A328" t="str">
            <v>01/09/2019</v>
          </cell>
          <cell r="F328">
            <v>0.26996832697457462</v>
          </cell>
        </row>
        <row r="329">
          <cell r="A329" t="str">
            <v>01/10/2019</v>
          </cell>
          <cell r="F329">
            <v>0.30481636131697809</v>
          </cell>
        </row>
        <row r="330">
          <cell r="A330" t="str">
            <v>01/11/2019</v>
          </cell>
          <cell r="F330">
            <v>0.19722948381251809</v>
          </cell>
        </row>
        <row r="331">
          <cell r="A331" t="str">
            <v>01/12/2019</v>
          </cell>
          <cell r="F331">
            <v>0.28924515748582591</v>
          </cell>
        </row>
        <row r="332">
          <cell r="A332" t="str">
            <v>01/01/2020</v>
          </cell>
          <cell r="F332">
            <v>0.20192925721886859</v>
          </cell>
        </row>
        <row r="333">
          <cell r="A333" t="str">
            <v>01/02/2020</v>
          </cell>
          <cell r="F333">
            <v>0.22068129554233609</v>
          </cell>
        </row>
        <row r="334">
          <cell r="A334" t="str">
            <v>01/03/2020</v>
          </cell>
          <cell r="F334">
            <v>1.00371893780306</v>
          </cell>
        </row>
        <row r="335">
          <cell r="A335" t="str">
            <v>01/04/2020</v>
          </cell>
          <cell r="F335">
            <v>0.61064698768160097</v>
          </cell>
        </row>
        <row r="336">
          <cell r="A336" t="str">
            <v>01/05/2020</v>
          </cell>
          <cell r="F336">
            <v>0.68029841081504039</v>
          </cell>
        </row>
        <row r="337">
          <cell r="A337" t="str">
            <v>01/06/2020</v>
          </cell>
          <cell r="F337">
            <v>0.56226850972010523</v>
          </cell>
        </row>
        <row r="338">
          <cell r="A338" t="str">
            <v>01/07/2020</v>
          </cell>
          <cell r="F338">
            <v>0.32603291499748949</v>
          </cell>
        </row>
        <row r="339">
          <cell r="A339" t="str">
            <v>01/08/2020</v>
          </cell>
          <cell r="F339">
            <v>0.35401836936234332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3E4E-5A59-6F47-B00A-17DD9AE4FCC6}">
  <dimension ref="A1:N397"/>
  <sheetViews>
    <sheetView tabSelected="1" zoomScale="107" workbookViewId="0">
      <selection activeCell="G3" sqref="G3"/>
    </sheetView>
  </sheetViews>
  <sheetFormatPr baseColWidth="10" defaultRowHeight="16" x14ac:dyDescent="0.2"/>
  <cols>
    <col min="2" max="2" width="62.1640625" bestFit="1" customWidth="1"/>
  </cols>
  <sheetData>
    <row r="1" spans="1:14" ht="16" customHeight="1" x14ac:dyDescent="0.2">
      <c r="A1" t="s">
        <v>258</v>
      </c>
      <c r="B1" t="s">
        <v>263</v>
      </c>
      <c r="F1" t="s">
        <v>265</v>
      </c>
      <c r="G1" t="s">
        <v>262</v>
      </c>
    </row>
    <row r="2" spans="1:14" x14ac:dyDescent="0.2">
      <c r="B2" t="s">
        <v>264</v>
      </c>
    </row>
    <row r="4" spans="1:14" x14ac:dyDescent="0.2">
      <c r="B4" t="s">
        <v>0</v>
      </c>
      <c r="C4" t="s">
        <v>1</v>
      </c>
      <c r="D4" t="s">
        <v>2</v>
      </c>
      <c r="G4" t="s">
        <v>3</v>
      </c>
      <c r="H4" t="s">
        <v>4</v>
      </c>
      <c r="I4" t="s">
        <v>5</v>
      </c>
      <c r="L4" t="s">
        <v>6</v>
      </c>
      <c r="N4" t="s">
        <v>9</v>
      </c>
    </row>
    <row r="5" spans="1:14" x14ac:dyDescent="0.2">
      <c r="B5" t="s">
        <v>8</v>
      </c>
      <c r="G5" s="1" t="s">
        <v>8</v>
      </c>
    </row>
    <row r="6" spans="1:14" x14ac:dyDescent="0.2">
      <c r="A6" s="2">
        <v>34335</v>
      </c>
      <c r="B6">
        <v>0.41107630000000001</v>
      </c>
      <c r="C6">
        <f>AVERAGE(B6:B322)</f>
        <v>0.61168833567101055</v>
      </c>
      <c r="D6">
        <f>STDEV(B6:B322)</f>
        <v>0.40054374150983896</v>
      </c>
      <c r="F6" s="2">
        <v>34335</v>
      </c>
      <c r="G6">
        <v>0.39864002945882387</v>
      </c>
      <c r="H6">
        <f>AVERAGE(G6:G322)</f>
        <v>0.57764176793081301</v>
      </c>
      <c r="I6">
        <f>STDEV(G6:G322)</f>
        <v>0.24774392068032547</v>
      </c>
      <c r="L6">
        <f>CORREL(B6:B322,G6:G322)</f>
        <v>0.67345131247316981</v>
      </c>
      <c r="N6">
        <f>G6-B6</f>
        <v>-1.2436270541176131E-2</v>
      </c>
    </row>
    <row r="7" spans="1:14" x14ac:dyDescent="0.2">
      <c r="A7" s="2">
        <v>34366</v>
      </c>
      <c r="B7">
        <v>0.42117510000000002</v>
      </c>
      <c r="F7" s="2">
        <v>34366</v>
      </c>
      <c r="G7">
        <v>0.49638204271419689</v>
      </c>
      <c r="N7">
        <f t="shared" ref="N7:N70" si="0">G7-B7</f>
        <v>7.5206942714196867E-2</v>
      </c>
    </row>
    <row r="8" spans="1:14" x14ac:dyDescent="0.2">
      <c r="A8" s="2">
        <v>34394</v>
      </c>
      <c r="B8">
        <v>0.39426230000000001</v>
      </c>
      <c r="F8" s="2">
        <v>34394</v>
      </c>
      <c r="G8">
        <v>0.44840385535101751</v>
      </c>
      <c r="N8">
        <f t="shared" si="0"/>
        <v>5.4141555351017501E-2</v>
      </c>
    </row>
    <row r="9" spans="1:14" x14ac:dyDescent="0.2">
      <c r="A9" s="2">
        <v>34425</v>
      </c>
      <c r="B9">
        <v>0.45903749999999999</v>
      </c>
      <c r="F9" s="2">
        <v>34425</v>
      </c>
      <c r="G9">
        <v>0.56291283651894974</v>
      </c>
      <c r="N9">
        <f t="shared" si="0"/>
        <v>0.10387533651894976</v>
      </c>
    </row>
    <row r="10" spans="1:14" x14ac:dyDescent="0.2">
      <c r="A10" s="2">
        <v>34455</v>
      </c>
      <c r="B10">
        <v>0.58324030000000004</v>
      </c>
      <c r="F10" s="2">
        <v>34455</v>
      </c>
      <c r="G10">
        <v>0.60947217309333701</v>
      </c>
      <c r="N10">
        <f t="shared" si="0"/>
        <v>2.6231873093336966E-2</v>
      </c>
    </row>
    <row r="11" spans="1:14" x14ac:dyDescent="0.2">
      <c r="A11" s="2">
        <v>34486</v>
      </c>
      <c r="B11">
        <v>0.72399959999999997</v>
      </c>
      <c r="F11" s="2">
        <v>34486</v>
      </c>
      <c r="G11">
        <v>0.672124746340931</v>
      </c>
      <c r="N11">
        <f t="shared" si="0"/>
        <v>-5.1874853659068965E-2</v>
      </c>
    </row>
    <row r="12" spans="1:14" x14ac:dyDescent="0.2">
      <c r="A12" s="2">
        <v>34516</v>
      </c>
      <c r="B12">
        <v>0.87429789999999996</v>
      </c>
      <c r="F12" s="2">
        <v>34516</v>
      </c>
      <c r="G12">
        <v>0.85310343255975263</v>
      </c>
      <c r="N12">
        <f t="shared" si="0"/>
        <v>-2.1194467440247333E-2</v>
      </c>
    </row>
    <row r="13" spans="1:14" x14ac:dyDescent="0.2">
      <c r="A13" s="2">
        <v>34547</v>
      </c>
      <c r="B13">
        <v>0.72552289999999997</v>
      </c>
      <c r="F13" s="2">
        <v>34547</v>
      </c>
      <c r="G13">
        <v>0.7013735205629088</v>
      </c>
      <c r="N13">
        <f t="shared" si="0"/>
        <v>-2.4149379437091167E-2</v>
      </c>
    </row>
    <row r="14" spans="1:14" x14ac:dyDescent="0.2">
      <c r="A14" s="2">
        <v>34578</v>
      </c>
      <c r="B14">
        <v>0.51345799999999997</v>
      </c>
      <c r="F14" s="2">
        <v>34578</v>
      </c>
      <c r="G14">
        <v>0.5547840241007832</v>
      </c>
      <c r="N14">
        <f t="shared" si="0"/>
        <v>4.1326024100783232E-2</v>
      </c>
    </row>
    <row r="15" spans="1:14" x14ac:dyDescent="0.2">
      <c r="A15" s="2">
        <v>34608</v>
      </c>
      <c r="B15">
        <v>0.58027019999999996</v>
      </c>
      <c r="F15" s="2">
        <v>34608</v>
      </c>
      <c r="G15">
        <v>0.50149844838199131</v>
      </c>
      <c r="N15">
        <f t="shared" si="0"/>
        <v>-7.8771751618008645E-2</v>
      </c>
    </row>
    <row r="16" spans="1:14" x14ac:dyDescent="0.2">
      <c r="A16" s="2">
        <v>34639</v>
      </c>
      <c r="B16">
        <v>0.53101410000000004</v>
      </c>
      <c r="F16" s="2">
        <v>34639</v>
      </c>
      <c r="G16">
        <v>0.56330410962447142</v>
      </c>
      <c r="N16">
        <f t="shared" si="0"/>
        <v>3.2290009624471372E-2</v>
      </c>
    </row>
    <row r="17" spans="1:14" x14ac:dyDescent="0.2">
      <c r="A17" s="2">
        <v>34669</v>
      </c>
      <c r="B17">
        <v>0.32663199999999998</v>
      </c>
      <c r="F17" s="2">
        <v>34669</v>
      </c>
      <c r="G17">
        <v>0.38988414773947011</v>
      </c>
      <c r="N17">
        <f t="shared" si="0"/>
        <v>6.3252147739470133E-2</v>
      </c>
    </row>
    <row r="18" spans="1:14" x14ac:dyDescent="0.2">
      <c r="A18" s="2">
        <v>34700</v>
      </c>
      <c r="B18">
        <v>0.49560520000000002</v>
      </c>
      <c r="F18" s="2">
        <v>34700</v>
      </c>
      <c r="G18">
        <v>0.49465388467424859</v>
      </c>
      <c r="N18">
        <f t="shared" si="0"/>
        <v>-9.5131532575143396E-4</v>
      </c>
    </row>
    <row r="19" spans="1:14" x14ac:dyDescent="0.2">
      <c r="A19" s="2">
        <v>34731</v>
      </c>
      <c r="B19">
        <v>0.48195450000000001</v>
      </c>
      <c r="F19" s="2">
        <v>34731</v>
      </c>
      <c r="G19">
        <v>0.44076855675105048</v>
      </c>
      <c r="N19">
        <f t="shared" si="0"/>
        <v>-4.118594324894953E-2</v>
      </c>
    </row>
    <row r="20" spans="1:14" x14ac:dyDescent="0.2">
      <c r="A20" s="2">
        <v>34759</v>
      </c>
      <c r="B20">
        <v>0.84158949999999999</v>
      </c>
      <c r="F20" s="2">
        <v>34759</v>
      </c>
      <c r="G20">
        <v>0.94602144212514339</v>
      </c>
      <c r="N20">
        <f t="shared" si="0"/>
        <v>0.1044319421251434</v>
      </c>
    </row>
    <row r="21" spans="1:14" x14ac:dyDescent="0.2">
      <c r="A21" s="2">
        <v>34790</v>
      </c>
      <c r="B21">
        <v>0.65374670000000001</v>
      </c>
      <c r="F21" s="2">
        <v>34790</v>
      </c>
      <c r="G21">
        <v>0.58471475471494994</v>
      </c>
      <c r="N21">
        <f t="shared" si="0"/>
        <v>-6.9031945285050078E-2</v>
      </c>
    </row>
    <row r="22" spans="1:14" x14ac:dyDescent="0.2">
      <c r="A22" s="2">
        <v>34820</v>
      </c>
      <c r="B22">
        <v>1.1790860000000001</v>
      </c>
      <c r="F22" s="2">
        <v>34820</v>
      </c>
      <c r="G22">
        <v>1.106419557204456</v>
      </c>
      <c r="N22">
        <f t="shared" si="0"/>
        <v>-7.2666442795544128E-2</v>
      </c>
    </row>
    <row r="23" spans="1:14" x14ac:dyDescent="0.2">
      <c r="A23" s="2">
        <v>34851</v>
      </c>
      <c r="B23">
        <v>0.5350509</v>
      </c>
      <c r="F23" s="2">
        <v>34851</v>
      </c>
      <c r="G23">
        <v>0.66988317371668304</v>
      </c>
      <c r="N23">
        <f t="shared" si="0"/>
        <v>0.13483227371668305</v>
      </c>
    </row>
    <row r="24" spans="1:14" x14ac:dyDescent="0.2">
      <c r="A24" s="2">
        <v>34881</v>
      </c>
      <c r="B24">
        <v>0.43215720000000002</v>
      </c>
      <c r="F24" s="2">
        <v>34881</v>
      </c>
      <c r="G24">
        <v>0.36115308228636561</v>
      </c>
      <c r="N24">
        <f t="shared" si="0"/>
        <v>-7.1004117713634407E-2</v>
      </c>
    </row>
    <row r="25" spans="1:14" x14ac:dyDescent="0.2">
      <c r="A25" s="2">
        <v>34912</v>
      </c>
      <c r="B25">
        <v>0.59578469999999994</v>
      </c>
      <c r="F25" s="2">
        <v>34912</v>
      </c>
      <c r="G25">
        <v>0.77513958223787249</v>
      </c>
      <c r="N25">
        <f t="shared" si="0"/>
        <v>0.17935488223787255</v>
      </c>
    </row>
    <row r="26" spans="1:14" x14ac:dyDescent="0.2">
      <c r="A26" s="2">
        <v>34943</v>
      </c>
      <c r="B26">
        <v>0.61095900000000003</v>
      </c>
      <c r="F26" s="2">
        <v>34943</v>
      </c>
      <c r="G26">
        <v>0.6484915258891446</v>
      </c>
      <c r="N26">
        <f t="shared" si="0"/>
        <v>3.7532525889144575E-2</v>
      </c>
    </row>
    <row r="27" spans="1:14" x14ac:dyDescent="0.2">
      <c r="A27" s="2">
        <v>34973</v>
      </c>
      <c r="B27">
        <v>0.3747356</v>
      </c>
      <c r="F27" s="2">
        <v>34973</v>
      </c>
      <c r="G27">
        <v>0.40637661715828449</v>
      </c>
      <c r="N27">
        <f t="shared" si="0"/>
        <v>3.164101715828449E-2</v>
      </c>
    </row>
    <row r="28" spans="1:14" x14ac:dyDescent="0.2">
      <c r="A28" s="2">
        <v>35004</v>
      </c>
      <c r="B28">
        <v>0.43464160000000002</v>
      </c>
      <c r="F28" s="2">
        <v>35004</v>
      </c>
      <c r="G28">
        <v>0.33177498310125919</v>
      </c>
      <c r="N28">
        <f t="shared" si="0"/>
        <v>-0.10286661689874083</v>
      </c>
    </row>
    <row r="29" spans="1:14" x14ac:dyDescent="0.2">
      <c r="A29" s="2">
        <v>35034</v>
      </c>
      <c r="B29">
        <v>0.3569001</v>
      </c>
      <c r="F29" s="2">
        <v>35034</v>
      </c>
      <c r="G29">
        <v>0.30631779947599552</v>
      </c>
      <c r="N29">
        <f t="shared" si="0"/>
        <v>-5.0582300524004475E-2</v>
      </c>
    </row>
    <row r="30" spans="1:14" x14ac:dyDescent="0.2">
      <c r="A30" s="2">
        <v>35065</v>
      </c>
      <c r="B30">
        <v>1.8570709999999999</v>
      </c>
      <c r="F30" s="2">
        <v>35065</v>
      </c>
      <c r="G30">
        <v>1.3063233922014179</v>
      </c>
      <c r="N30">
        <f t="shared" si="0"/>
        <v>-0.55074760779858201</v>
      </c>
    </row>
    <row r="31" spans="1:14" x14ac:dyDescent="0.2">
      <c r="A31" s="2">
        <v>35096</v>
      </c>
      <c r="B31">
        <v>3.0126689999999998</v>
      </c>
      <c r="F31" s="2">
        <v>35096</v>
      </c>
      <c r="G31">
        <v>0.35309519941888529</v>
      </c>
      <c r="N31">
        <f t="shared" si="0"/>
        <v>-2.6595738005811147</v>
      </c>
    </row>
    <row r="32" spans="1:14" x14ac:dyDescent="0.2">
      <c r="A32" s="2">
        <v>35125</v>
      </c>
      <c r="B32">
        <v>0.38156299999999999</v>
      </c>
      <c r="F32" s="2">
        <v>35125</v>
      </c>
      <c r="G32">
        <v>0.39739146129051112</v>
      </c>
      <c r="N32">
        <f t="shared" si="0"/>
        <v>1.5828461290511131E-2</v>
      </c>
    </row>
    <row r="33" spans="1:14" x14ac:dyDescent="0.2">
      <c r="A33" s="2">
        <v>35156</v>
      </c>
      <c r="B33">
        <v>3.0503149999999999</v>
      </c>
      <c r="F33" s="2">
        <v>35156</v>
      </c>
      <c r="G33">
        <v>2.090689186664286</v>
      </c>
      <c r="N33">
        <f t="shared" si="0"/>
        <v>-0.95962581333571384</v>
      </c>
    </row>
    <row r="34" spans="1:14" x14ac:dyDescent="0.2">
      <c r="A34" s="2">
        <v>35186</v>
      </c>
      <c r="B34">
        <v>1.1630780000000001</v>
      </c>
      <c r="F34" s="2">
        <v>35186</v>
      </c>
      <c r="G34">
        <v>1.169302793382655</v>
      </c>
      <c r="N34">
        <f t="shared" si="0"/>
        <v>6.224793382654914E-3</v>
      </c>
    </row>
    <row r="35" spans="1:14" x14ac:dyDescent="0.2">
      <c r="A35" s="2">
        <v>35217</v>
      </c>
      <c r="B35">
        <v>0.28751979999999999</v>
      </c>
      <c r="F35" s="2">
        <v>35217</v>
      </c>
      <c r="G35">
        <v>0.24865621545648051</v>
      </c>
      <c r="N35">
        <f t="shared" si="0"/>
        <v>-3.8863584543519486E-2</v>
      </c>
    </row>
    <row r="36" spans="1:14" x14ac:dyDescent="0.2">
      <c r="A36" s="2">
        <v>35247</v>
      </c>
      <c r="B36">
        <v>0.32617020000000002</v>
      </c>
      <c r="F36" s="2">
        <v>35247</v>
      </c>
      <c r="G36">
        <v>0.30164226668679323</v>
      </c>
      <c r="N36">
        <f t="shared" si="0"/>
        <v>-2.4527933313206796E-2</v>
      </c>
    </row>
    <row r="37" spans="1:14" x14ac:dyDescent="0.2">
      <c r="A37" s="2">
        <v>35278</v>
      </c>
      <c r="B37">
        <v>0.28734789999999999</v>
      </c>
      <c r="F37" s="2">
        <v>35278</v>
      </c>
      <c r="G37">
        <v>0.29670118786780803</v>
      </c>
      <c r="N37">
        <f t="shared" si="0"/>
        <v>9.3532878678080356E-3</v>
      </c>
    </row>
    <row r="38" spans="1:14" x14ac:dyDescent="0.2">
      <c r="A38" s="2">
        <v>35309</v>
      </c>
      <c r="B38">
        <v>0.32668069999999999</v>
      </c>
      <c r="F38" s="2">
        <v>35309</v>
      </c>
      <c r="G38">
        <v>0.32194460883776721</v>
      </c>
      <c r="N38">
        <f t="shared" si="0"/>
        <v>-4.7360911622327806E-3</v>
      </c>
    </row>
    <row r="39" spans="1:14" x14ac:dyDescent="0.2">
      <c r="A39" s="2">
        <v>35339</v>
      </c>
      <c r="B39">
        <v>0.25393670000000002</v>
      </c>
      <c r="F39" s="2">
        <v>35339</v>
      </c>
      <c r="G39">
        <v>0.2406376969854998</v>
      </c>
      <c r="N39">
        <f t="shared" si="0"/>
        <v>-1.329900301450021E-2</v>
      </c>
    </row>
    <row r="40" spans="1:14" x14ac:dyDescent="0.2">
      <c r="A40" s="2">
        <v>35370</v>
      </c>
      <c r="B40">
        <v>0.34870800000000002</v>
      </c>
      <c r="F40" s="2">
        <v>35370</v>
      </c>
      <c r="G40">
        <v>0.31139032815759199</v>
      </c>
      <c r="N40">
        <f t="shared" si="0"/>
        <v>-3.7317671842408029E-2</v>
      </c>
    </row>
    <row r="41" spans="1:14" x14ac:dyDescent="0.2">
      <c r="A41" s="2">
        <v>35400</v>
      </c>
      <c r="B41">
        <v>0.48596450000000002</v>
      </c>
      <c r="F41" s="2">
        <v>35400</v>
      </c>
      <c r="G41">
        <v>0.4899079815342185</v>
      </c>
      <c r="N41">
        <f t="shared" si="0"/>
        <v>3.9434815342184737E-3</v>
      </c>
    </row>
    <row r="42" spans="1:14" x14ac:dyDescent="0.2">
      <c r="A42" s="2">
        <v>35431</v>
      </c>
      <c r="B42">
        <v>4.8209650000000002</v>
      </c>
      <c r="F42" s="2">
        <v>35431</v>
      </c>
      <c r="G42">
        <v>0.60528312991297917</v>
      </c>
      <c r="N42">
        <f t="shared" si="0"/>
        <v>-4.2156818700870211</v>
      </c>
    </row>
    <row r="43" spans="1:14" x14ac:dyDescent="0.2">
      <c r="A43" s="2">
        <v>35462</v>
      </c>
      <c r="B43">
        <v>0.48694730000000003</v>
      </c>
      <c r="F43" s="2">
        <v>35462</v>
      </c>
      <c r="G43">
        <v>0.45018179047390211</v>
      </c>
      <c r="N43">
        <f t="shared" si="0"/>
        <v>-3.6765509526097917E-2</v>
      </c>
    </row>
    <row r="44" spans="1:14" x14ac:dyDescent="0.2">
      <c r="A44" s="2">
        <v>35490</v>
      </c>
      <c r="B44">
        <v>0.39639679999999999</v>
      </c>
      <c r="F44" s="2">
        <v>35490</v>
      </c>
      <c r="G44">
        <v>0.34147996685939241</v>
      </c>
      <c r="N44">
        <f t="shared" si="0"/>
        <v>-5.4916833140607579E-2</v>
      </c>
    </row>
    <row r="45" spans="1:14" x14ac:dyDescent="0.2">
      <c r="A45" s="2">
        <v>35521</v>
      </c>
      <c r="B45">
        <v>0.40577629999999998</v>
      </c>
      <c r="F45" s="2">
        <v>35521</v>
      </c>
      <c r="G45">
        <v>0.42134198817843982</v>
      </c>
      <c r="N45">
        <f t="shared" si="0"/>
        <v>1.556568817843984E-2</v>
      </c>
    </row>
    <row r="46" spans="1:14" x14ac:dyDescent="0.2">
      <c r="A46" s="2">
        <v>35551</v>
      </c>
      <c r="B46">
        <v>0.4455288</v>
      </c>
      <c r="F46" s="2">
        <v>35551</v>
      </c>
      <c r="G46">
        <v>0.4508517508137479</v>
      </c>
      <c r="N46">
        <f t="shared" si="0"/>
        <v>5.3229508137478954E-3</v>
      </c>
    </row>
    <row r="47" spans="1:14" x14ac:dyDescent="0.2">
      <c r="A47" s="2">
        <v>35582</v>
      </c>
      <c r="B47">
        <v>0.41232429999999998</v>
      </c>
      <c r="F47" s="2">
        <v>35582</v>
      </c>
      <c r="G47">
        <v>0.48318262910245002</v>
      </c>
      <c r="N47">
        <f t="shared" si="0"/>
        <v>7.0858329102450046E-2</v>
      </c>
    </row>
    <row r="48" spans="1:14" x14ac:dyDescent="0.2">
      <c r="A48" s="2">
        <v>35612</v>
      </c>
      <c r="B48">
        <v>0.49968069999999998</v>
      </c>
      <c r="F48" s="2">
        <v>35612</v>
      </c>
      <c r="G48">
        <v>0.5099924844632977</v>
      </c>
      <c r="N48">
        <f t="shared" si="0"/>
        <v>1.0311784463297724E-2</v>
      </c>
    </row>
    <row r="49" spans="1:14" x14ac:dyDescent="0.2">
      <c r="A49" s="2">
        <v>35643</v>
      </c>
      <c r="B49">
        <v>0.74057879999999998</v>
      </c>
      <c r="F49" s="2">
        <v>35643</v>
      </c>
      <c r="G49">
        <v>0.76406749279071073</v>
      </c>
      <c r="N49">
        <f t="shared" si="0"/>
        <v>2.3488692790710752E-2</v>
      </c>
    </row>
    <row r="50" spans="1:14" x14ac:dyDescent="0.2">
      <c r="A50" s="2">
        <v>35674</v>
      </c>
      <c r="B50">
        <v>0.55805729999999998</v>
      </c>
      <c r="F50" s="2">
        <v>35674</v>
      </c>
      <c r="G50">
        <v>0.62467677573579228</v>
      </c>
      <c r="N50">
        <f t="shared" si="0"/>
        <v>6.66194757357923E-2</v>
      </c>
    </row>
    <row r="51" spans="1:14" x14ac:dyDescent="0.2">
      <c r="A51" s="2">
        <v>35704</v>
      </c>
      <c r="B51">
        <v>0.49509920000000002</v>
      </c>
      <c r="F51" s="2">
        <v>35704</v>
      </c>
      <c r="G51">
        <v>0.59940841152662283</v>
      </c>
      <c r="N51">
        <f t="shared" si="0"/>
        <v>0.10430921152662281</v>
      </c>
    </row>
    <row r="52" spans="1:14" x14ac:dyDescent="0.2">
      <c r="A52" s="2">
        <v>35735</v>
      </c>
      <c r="B52">
        <v>0.57102129999999995</v>
      </c>
      <c r="F52" s="2">
        <v>35735</v>
      </c>
      <c r="G52">
        <v>0.52878155170932895</v>
      </c>
      <c r="N52">
        <f t="shared" si="0"/>
        <v>-4.2239748290671009E-2</v>
      </c>
    </row>
    <row r="53" spans="1:14" x14ac:dyDescent="0.2">
      <c r="A53" s="2">
        <v>35765</v>
      </c>
      <c r="B53">
        <v>0.49460290000000001</v>
      </c>
      <c r="F53" s="2">
        <v>35765</v>
      </c>
      <c r="G53">
        <v>0.42731417422579537</v>
      </c>
      <c r="N53">
        <f t="shared" si="0"/>
        <v>-6.7288725774204639E-2</v>
      </c>
    </row>
    <row r="54" spans="1:14" x14ac:dyDescent="0.2">
      <c r="A54" s="2">
        <v>35796</v>
      </c>
      <c r="B54">
        <v>0.56202589999999997</v>
      </c>
      <c r="F54" s="2">
        <v>35796</v>
      </c>
      <c r="G54">
        <v>0.58240980691893007</v>
      </c>
      <c r="N54">
        <f t="shared" si="0"/>
        <v>2.0383906918930106E-2</v>
      </c>
    </row>
    <row r="55" spans="1:14" x14ac:dyDescent="0.2">
      <c r="A55" s="2">
        <v>35827</v>
      </c>
      <c r="B55">
        <v>0.50338179999999999</v>
      </c>
      <c r="F55" s="2">
        <v>35827</v>
      </c>
      <c r="G55">
        <v>0.48999833832640222</v>
      </c>
      <c r="N55">
        <f t="shared" si="0"/>
        <v>-1.3383461673597774E-2</v>
      </c>
    </row>
    <row r="56" spans="1:14" x14ac:dyDescent="0.2">
      <c r="A56" s="2">
        <v>35855</v>
      </c>
      <c r="B56">
        <v>2.3948749999999999</v>
      </c>
      <c r="F56" s="2">
        <v>35855</v>
      </c>
      <c r="G56">
        <v>1.8211226082340639</v>
      </c>
      <c r="N56">
        <f t="shared" si="0"/>
        <v>-0.57375239176593595</v>
      </c>
    </row>
    <row r="57" spans="1:14" x14ac:dyDescent="0.2">
      <c r="A57" s="2">
        <v>35886</v>
      </c>
      <c r="B57">
        <v>0.55323409999999995</v>
      </c>
      <c r="F57" s="2">
        <v>35886</v>
      </c>
      <c r="G57">
        <v>0.57902344322526045</v>
      </c>
      <c r="N57">
        <f t="shared" si="0"/>
        <v>2.5789343225260497E-2</v>
      </c>
    </row>
    <row r="58" spans="1:14" x14ac:dyDescent="0.2">
      <c r="A58" s="2">
        <v>35916</v>
      </c>
      <c r="B58">
        <v>0.77475810000000001</v>
      </c>
      <c r="F58" s="2">
        <v>35916</v>
      </c>
      <c r="G58">
        <v>0.55400946348057323</v>
      </c>
      <c r="N58">
        <f t="shared" si="0"/>
        <v>-0.22074863651942678</v>
      </c>
    </row>
    <row r="59" spans="1:14" x14ac:dyDescent="0.2">
      <c r="A59" s="2">
        <v>35947</v>
      </c>
      <c r="B59">
        <v>0.60170610000000002</v>
      </c>
      <c r="F59" s="2">
        <v>35947</v>
      </c>
      <c r="G59">
        <v>0.61856421235599091</v>
      </c>
      <c r="N59">
        <f t="shared" si="0"/>
        <v>1.6858112355990884E-2</v>
      </c>
    </row>
    <row r="60" spans="1:14" x14ac:dyDescent="0.2">
      <c r="A60" s="2">
        <v>35977</v>
      </c>
      <c r="B60">
        <v>0.50277229999999995</v>
      </c>
      <c r="F60" s="2">
        <v>35977</v>
      </c>
      <c r="G60">
        <v>0.48828806722782059</v>
      </c>
      <c r="N60">
        <f t="shared" si="0"/>
        <v>-1.4484232772179362E-2</v>
      </c>
    </row>
    <row r="61" spans="1:14" x14ac:dyDescent="0.2">
      <c r="A61" s="2">
        <v>36008</v>
      </c>
      <c r="B61">
        <v>0.72096380000000004</v>
      </c>
      <c r="F61" s="2">
        <v>36008</v>
      </c>
      <c r="G61">
        <v>0.65152358949772982</v>
      </c>
      <c r="N61">
        <f t="shared" si="0"/>
        <v>-6.9440210502270228E-2</v>
      </c>
    </row>
    <row r="62" spans="1:14" x14ac:dyDescent="0.2">
      <c r="A62" s="2">
        <v>36039</v>
      </c>
      <c r="B62">
        <v>0.81166769999999999</v>
      </c>
      <c r="F62" s="2">
        <v>36039</v>
      </c>
      <c r="G62">
        <v>0.75277058381863293</v>
      </c>
      <c r="N62">
        <f t="shared" si="0"/>
        <v>-5.889711618136706E-2</v>
      </c>
    </row>
    <row r="63" spans="1:14" x14ac:dyDescent="0.2">
      <c r="A63" s="2">
        <v>36069</v>
      </c>
      <c r="B63">
        <v>0.84003729999999999</v>
      </c>
      <c r="F63" s="2">
        <v>36069</v>
      </c>
      <c r="G63">
        <v>0.67173924338557323</v>
      </c>
      <c r="N63">
        <f t="shared" si="0"/>
        <v>-0.16829805661442676</v>
      </c>
    </row>
    <row r="64" spans="1:14" x14ac:dyDescent="0.2">
      <c r="A64" s="2">
        <v>36100</v>
      </c>
      <c r="B64">
        <v>0.58681839999999996</v>
      </c>
      <c r="F64" s="2">
        <v>36100</v>
      </c>
      <c r="G64">
        <v>0.63528673053969986</v>
      </c>
      <c r="N64">
        <f t="shared" si="0"/>
        <v>4.84683305396999E-2</v>
      </c>
    </row>
    <row r="65" spans="1:14" x14ac:dyDescent="0.2">
      <c r="A65" s="2">
        <v>36130</v>
      </c>
      <c r="B65">
        <v>0.37600309999999998</v>
      </c>
      <c r="F65" s="2">
        <v>36130</v>
      </c>
      <c r="G65">
        <v>0.35255371905133842</v>
      </c>
      <c r="N65">
        <f t="shared" si="0"/>
        <v>-2.3449380948661558E-2</v>
      </c>
    </row>
    <row r="66" spans="1:14" x14ac:dyDescent="0.2">
      <c r="A66" s="2">
        <v>36161</v>
      </c>
      <c r="B66">
        <v>0.65622820000000004</v>
      </c>
      <c r="F66" s="2">
        <v>36161</v>
      </c>
      <c r="G66">
        <v>0.54021482004805477</v>
      </c>
      <c r="N66">
        <f t="shared" si="0"/>
        <v>-0.11601337995194527</v>
      </c>
    </row>
    <row r="67" spans="1:14" x14ac:dyDescent="0.2">
      <c r="A67" s="2">
        <v>36192</v>
      </c>
      <c r="B67">
        <v>0.55521379999999998</v>
      </c>
      <c r="F67" s="2">
        <v>36192</v>
      </c>
      <c r="G67">
        <v>0.62273954240814</v>
      </c>
      <c r="N67">
        <f t="shared" si="0"/>
        <v>6.7525742408140021E-2</v>
      </c>
    </row>
    <row r="68" spans="1:14" x14ac:dyDescent="0.2">
      <c r="A68" s="2">
        <v>36220</v>
      </c>
      <c r="B68">
        <v>0.63168650000000004</v>
      </c>
      <c r="F68" s="2">
        <v>36220</v>
      </c>
      <c r="G68">
        <v>0.69326846641760487</v>
      </c>
      <c r="N68">
        <f t="shared" si="0"/>
        <v>6.1581966417604828E-2</v>
      </c>
    </row>
    <row r="69" spans="1:14" x14ac:dyDescent="0.2">
      <c r="A69" s="2">
        <v>36251</v>
      </c>
      <c r="B69">
        <v>2.0308310000000001</v>
      </c>
      <c r="F69" s="2">
        <v>36251</v>
      </c>
      <c r="G69">
        <v>1.4995743430442521</v>
      </c>
      <c r="N69">
        <f t="shared" si="0"/>
        <v>-0.53125665695574797</v>
      </c>
    </row>
    <row r="70" spans="1:14" x14ac:dyDescent="0.2">
      <c r="A70" s="2">
        <v>36281</v>
      </c>
      <c r="B70">
        <v>0.56897790000000004</v>
      </c>
      <c r="F70" s="2">
        <v>36281</v>
      </c>
      <c r="G70">
        <v>0.4966911536037622</v>
      </c>
      <c r="N70">
        <f t="shared" si="0"/>
        <v>-7.2286746396237833E-2</v>
      </c>
    </row>
    <row r="71" spans="1:14" x14ac:dyDescent="0.2">
      <c r="A71" s="2">
        <v>36312</v>
      </c>
      <c r="B71">
        <v>1.585701</v>
      </c>
      <c r="F71" s="2">
        <v>36312</v>
      </c>
      <c r="G71">
        <v>1.314774966661536</v>
      </c>
      <c r="N71">
        <f t="shared" ref="N71:N105" si="1">G71-B71</f>
        <v>-0.27092603333846399</v>
      </c>
    </row>
    <row r="72" spans="1:14" x14ac:dyDescent="0.2">
      <c r="A72" s="2">
        <v>36342</v>
      </c>
      <c r="B72">
        <v>0.93649179999999999</v>
      </c>
      <c r="F72" s="2">
        <v>36342</v>
      </c>
      <c r="G72">
        <v>0.94807211890254528</v>
      </c>
      <c r="N72">
        <f t="shared" si="1"/>
        <v>1.1580318902545295E-2</v>
      </c>
    </row>
    <row r="73" spans="1:14" x14ac:dyDescent="0.2">
      <c r="A73" s="2">
        <v>36373</v>
      </c>
      <c r="B73">
        <v>0.62926369999999998</v>
      </c>
      <c r="F73" s="2">
        <v>36373</v>
      </c>
      <c r="G73">
        <v>0.6205202594178697</v>
      </c>
      <c r="N73">
        <f t="shared" si="1"/>
        <v>-8.7434405821302796E-3</v>
      </c>
    </row>
    <row r="74" spans="1:14" x14ac:dyDescent="0.2">
      <c r="A74" s="2">
        <v>36404</v>
      </c>
      <c r="B74">
        <v>0.59816420000000003</v>
      </c>
      <c r="F74" s="2">
        <v>36404</v>
      </c>
      <c r="G74">
        <v>0.52104934146152304</v>
      </c>
      <c r="N74">
        <f t="shared" si="1"/>
        <v>-7.7114858538476994E-2</v>
      </c>
    </row>
    <row r="75" spans="1:14" x14ac:dyDescent="0.2">
      <c r="A75" s="2">
        <v>36434</v>
      </c>
      <c r="B75">
        <v>0.61634250000000002</v>
      </c>
      <c r="F75" s="2">
        <v>36434</v>
      </c>
      <c r="G75">
        <v>0.63061929011662132</v>
      </c>
      <c r="N75">
        <f t="shared" si="1"/>
        <v>1.4276790116621307E-2</v>
      </c>
    </row>
    <row r="76" spans="1:14" x14ac:dyDescent="0.2">
      <c r="A76" s="2">
        <v>36465</v>
      </c>
      <c r="B76">
        <v>0.52134659999999999</v>
      </c>
      <c r="F76" s="2">
        <v>36465</v>
      </c>
      <c r="G76">
        <v>0.37838630359832021</v>
      </c>
      <c r="N76">
        <f t="shared" si="1"/>
        <v>-0.14296029640167979</v>
      </c>
    </row>
    <row r="77" spans="1:14" x14ac:dyDescent="0.2">
      <c r="A77" s="2">
        <v>36495</v>
      </c>
      <c r="B77">
        <v>0.64507300000000001</v>
      </c>
      <c r="F77" s="2">
        <v>36495</v>
      </c>
      <c r="G77">
        <v>0.74092500961686503</v>
      </c>
      <c r="N77">
        <f t="shared" si="1"/>
        <v>9.5852009616865019E-2</v>
      </c>
    </row>
    <row r="78" spans="1:14" x14ac:dyDescent="0.2">
      <c r="A78" s="2">
        <v>36526</v>
      </c>
      <c r="B78">
        <v>0.74048550000000002</v>
      </c>
      <c r="F78" s="2">
        <v>36526</v>
      </c>
      <c r="G78">
        <v>0.75896240341912091</v>
      </c>
      <c r="N78">
        <f t="shared" si="1"/>
        <v>1.8476903419120894E-2</v>
      </c>
    </row>
    <row r="79" spans="1:14" x14ac:dyDescent="0.2">
      <c r="A79" s="2">
        <v>36557</v>
      </c>
      <c r="B79">
        <v>0.82511959999999995</v>
      </c>
      <c r="F79" s="2">
        <v>36557</v>
      </c>
      <c r="G79">
        <v>0.7877440452155352</v>
      </c>
      <c r="N79">
        <f t="shared" si="1"/>
        <v>-3.7375554784464748E-2</v>
      </c>
    </row>
    <row r="80" spans="1:14" x14ac:dyDescent="0.2">
      <c r="A80" s="2">
        <v>36586</v>
      </c>
      <c r="B80">
        <v>0.50326910000000002</v>
      </c>
      <c r="F80" s="2">
        <v>36586</v>
      </c>
      <c r="G80">
        <v>0.46618205912196042</v>
      </c>
      <c r="N80">
        <f t="shared" si="1"/>
        <v>-3.7087040878039601E-2</v>
      </c>
    </row>
    <row r="81" spans="1:14" x14ac:dyDescent="0.2">
      <c r="A81" s="2">
        <v>36617</v>
      </c>
      <c r="B81">
        <v>0.59548380000000001</v>
      </c>
      <c r="F81" s="2">
        <v>36617</v>
      </c>
      <c r="G81">
        <v>0.41906843602704508</v>
      </c>
      <c r="N81">
        <f t="shared" si="1"/>
        <v>-0.17641536397295493</v>
      </c>
    </row>
    <row r="82" spans="1:14" x14ac:dyDescent="0.2">
      <c r="A82" s="2">
        <v>36647</v>
      </c>
      <c r="B82">
        <v>0.93932669999999996</v>
      </c>
      <c r="F82" s="2">
        <v>36647</v>
      </c>
      <c r="G82">
        <v>0.93009106567014765</v>
      </c>
      <c r="N82">
        <f t="shared" si="1"/>
        <v>-9.2356343298523047E-3</v>
      </c>
    </row>
    <row r="83" spans="1:14" x14ac:dyDescent="0.2">
      <c r="A83" s="2">
        <v>36678</v>
      </c>
      <c r="B83">
        <v>0.59584099999999995</v>
      </c>
      <c r="F83" s="2">
        <v>36678</v>
      </c>
      <c r="G83">
        <v>0.67926009653354125</v>
      </c>
      <c r="N83">
        <f t="shared" si="1"/>
        <v>8.3419096533541293E-2</v>
      </c>
    </row>
    <row r="84" spans="1:14" x14ac:dyDescent="0.2">
      <c r="A84" s="2">
        <v>36708</v>
      </c>
      <c r="B84">
        <v>0.77471299999999998</v>
      </c>
      <c r="F84" s="2">
        <v>36708</v>
      </c>
      <c r="G84">
        <v>0.72568203738949288</v>
      </c>
      <c r="N84">
        <f t="shared" si="1"/>
        <v>-4.9030962610507101E-2</v>
      </c>
    </row>
    <row r="85" spans="1:14" x14ac:dyDescent="0.2">
      <c r="A85" s="2">
        <v>36739</v>
      </c>
      <c r="B85">
        <v>0.73532600000000004</v>
      </c>
      <c r="F85" s="2">
        <v>36739</v>
      </c>
      <c r="G85">
        <v>0.65331111400783204</v>
      </c>
      <c r="N85">
        <f t="shared" si="1"/>
        <v>-8.2014885992167996E-2</v>
      </c>
    </row>
    <row r="86" spans="1:14" x14ac:dyDescent="0.2">
      <c r="A86" s="2">
        <v>36770</v>
      </c>
      <c r="B86">
        <v>0.96357669999999995</v>
      </c>
      <c r="F86" s="2">
        <v>36770</v>
      </c>
      <c r="G86">
        <v>1.0065091180540151</v>
      </c>
      <c r="N86">
        <f t="shared" si="1"/>
        <v>4.2932418054015153E-2</v>
      </c>
    </row>
    <row r="87" spans="1:14" x14ac:dyDescent="0.2">
      <c r="A87" s="2">
        <v>36800</v>
      </c>
      <c r="B87">
        <v>1.2272650000000001</v>
      </c>
      <c r="F87" s="2">
        <v>36800</v>
      </c>
      <c r="G87">
        <v>1.2388519394157611</v>
      </c>
      <c r="N87">
        <f t="shared" si="1"/>
        <v>1.1586939415761055E-2</v>
      </c>
    </row>
    <row r="88" spans="1:14" x14ac:dyDescent="0.2">
      <c r="A88" s="2">
        <v>36831</v>
      </c>
      <c r="B88">
        <v>0.92013080000000003</v>
      </c>
      <c r="F88" s="2">
        <v>36831</v>
      </c>
      <c r="G88">
        <v>0.76780213375455997</v>
      </c>
      <c r="N88">
        <f t="shared" si="1"/>
        <v>-0.15232866624544006</v>
      </c>
    </row>
    <row r="89" spans="1:14" x14ac:dyDescent="0.2">
      <c r="A89" s="2">
        <v>36861</v>
      </c>
      <c r="B89">
        <v>0.87896479999999999</v>
      </c>
      <c r="F89" s="2">
        <v>36861</v>
      </c>
      <c r="G89">
        <v>0.88800378639671007</v>
      </c>
      <c r="N89">
        <f t="shared" si="1"/>
        <v>9.0389863967100803E-3</v>
      </c>
    </row>
    <row r="90" spans="1:14" x14ac:dyDescent="0.2">
      <c r="A90" s="2">
        <v>36892</v>
      </c>
      <c r="B90">
        <v>0.79562449999999996</v>
      </c>
      <c r="F90" s="2">
        <v>36892</v>
      </c>
      <c r="G90">
        <v>0.86526945124642074</v>
      </c>
      <c r="N90">
        <f t="shared" si="1"/>
        <v>6.9644951246420783E-2</v>
      </c>
    </row>
    <row r="91" spans="1:14" x14ac:dyDescent="0.2">
      <c r="A91" s="2">
        <v>36923</v>
      </c>
      <c r="B91">
        <v>0.85796910000000004</v>
      </c>
      <c r="F91" s="2">
        <v>36923</v>
      </c>
      <c r="G91">
        <v>0.90875158412584656</v>
      </c>
      <c r="N91">
        <f t="shared" si="1"/>
        <v>5.0782484125846516E-2</v>
      </c>
    </row>
    <row r="92" spans="1:14" x14ac:dyDescent="0.2">
      <c r="A92" s="2">
        <v>36951</v>
      </c>
      <c r="B92">
        <v>0.75262430000000002</v>
      </c>
      <c r="F92" s="2">
        <v>36951</v>
      </c>
      <c r="G92">
        <v>0.71327954858927844</v>
      </c>
      <c r="N92">
        <f t="shared" si="1"/>
        <v>-3.9344751410721579E-2</v>
      </c>
    </row>
    <row r="93" spans="1:14" x14ac:dyDescent="0.2">
      <c r="A93" s="2">
        <v>36982</v>
      </c>
      <c r="B93">
        <v>0.91325230000000002</v>
      </c>
      <c r="F93" s="2">
        <v>36982</v>
      </c>
      <c r="G93">
        <v>0.93245363739237563</v>
      </c>
      <c r="N93">
        <f t="shared" si="1"/>
        <v>1.9201337392375617E-2</v>
      </c>
    </row>
    <row r="94" spans="1:14" x14ac:dyDescent="0.2">
      <c r="A94" s="2">
        <v>37012</v>
      </c>
      <c r="B94">
        <v>0.4707538</v>
      </c>
      <c r="F94" s="2">
        <v>37012</v>
      </c>
      <c r="G94">
        <v>0.53477913343197148</v>
      </c>
      <c r="N94">
        <f t="shared" si="1"/>
        <v>6.4025333431971476E-2</v>
      </c>
    </row>
    <row r="95" spans="1:14" x14ac:dyDescent="0.2">
      <c r="A95" s="2">
        <v>37043</v>
      </c>
      <c r="B95">
        <v>0.65631329999999999</v>
      </c>
      <c r="F95" s="2">
        <v>37043</v>
      </c>
      <c r="G95">
        <v>0.60070599997938667</v>
      </c>
      <c r="N95">
        <f t="shared" si="1"/>
        <v>-5.5607300020613315E-2</v>
      </c>
    </row>
    <row r="96" spans="1:14" x14ac:dyDescent="0.2">
      <c r="A96" s="2">
        <v>37073</v>
      </c>
      <c r="B96">
        <v>0.72464799999999996</v>
      </c>
      <c r="F96" s="2">
        <v>37073</v>
      </c>
      <c r="G96">
        <v>0.80601559331011163</v>
      </c>
      <c r="N96">
        <f t="shared" si="1"/>
        <v>8.1367593310111674E-2</v>
      </c>
    </row>
    <row r="97" spans="1:14" x14ac:dyDescent="0.2">
      <c r="A97" s="2">
        <v>37104</v>
      </c>
      <c r="B97">
        <v>0.63742699999999997</v>
      </c>
      <c r="F97" s="2">
        <v>37104</v>
      </c>
      <c r="G97">
        <v>0.54098479950975031</v>
      </c>
      <c r="N97">
        <f t="shared" si="1"/>
        <v>-9.6442200490249652E-2</v>
      </c>
    </row>
    <row r="98" spans="1:14" x14ac:dyDescent="0.2">
      <c r="A98" s="2">
        <v>37135</v>
      </c>
      <c r="B98">
        <v>0.79576809999999998</v>
      </c>
      <c r="F98" s="2">
        <v>37135</v>
      </c>
      <c r="G98">
        <v>0.80946619310762047</v>
      </c>
      <c r="N98">
        <f t="shared" si="1"/>
        <v>1.369809310762049E-2</v>
      </c>
    </row>
    <row r="99" spans="1:14" x14ac:dyDescent="0.2">
      <c r="A99" s="2">
        <v>37165</v>
      </c>
      <c r="B99">
        <v>0.55509819999999999</v>
      </c>
      <c r="F99" s="2">
        <v>37165</v>
      </c>
      <c r="G99">
        <v>0.59616517293903526</v>
      </c>
      <c r="N99">
        <f t="shared" si="1"/>
        <v>4.1066972939035273E-2</v>
      </c>
    </row>
    <row r="100" spans="1:14" x14ac:dyDescent="0.2">
      <c r="A100" s="2">
        <v>37196</v>
      </c>
      <c r="B100">
        <v>0.48472009999999999</v>
      </c>
      <c r="F100" s="2">
        <v>37196</v>
      </c>
      <c r="G100">
        <v>0.59776175963606248</v>
      </c>
      <c r="N100">
        <f t="shared" si="1"/>
        <v>0.1130416596360625</v>
      </c>
    </row>
    <row r="101" spans="1:14" x14ac:dyDescent="0.2">
      <c r="A101" s="2">
        <v>37226</v>
      </c>
      <c r="B101">
        <v>0.50052129999999995</v>
      </c>
      <c r="F101" s="2">
        <v>37226</v>
      </c>
      <c r="G101">
        <v>0.47279781348192462</v>
      </c>
      <c r="N101">
        <f t="shared" si="1"/>
        <v>-2.7723486518075324E-2</v>
      </c>
    </row>
    <row r="102" spans="1:14" x14ac:dyDescent="0.2">
      <c r="A102" s="2">
        <v>37257</v>
      </c>
      <c r="B102">
        <v>0.72208360000000005</v>
      </c>
      <c r="F102" s="2">
        <v>37257</v>
      </c>
      <c r="G102">
        <v>0.58088165916314016</v>
      </c>
      <c r="N102">
        <f t="shared" si="1"/>
        <v>-0.14120194083685988</v>
      </c>
    </row>
    <row r="103" spans="1:14" x14ac:dyDescent="0.2">
      <c r="A103" s="2">
        <v>37288</v>
      </c>
      <c r="B103">
        <v>0.39806200000000003</v>
      </c>
      <c r="F103" s="2">
        <v>37288</v>
      </c>
      <c r="G103">
        <v>0.39361902438130741</v>
      </c>
      <c r="N103">
        <f t="shared" si="1"/>
        <v>-4.4429756186926128E-3</v>
      </c>
    </row>
    <row r="104" spans="1:14" x14ac:dyDescent="0.2">
      <c r="A104" s="2">
        <v>37316</v>
      </c>
      <c r="B104">
        <v>0.30027100000000001</v>
      </c>
      <c r="F104" s="2">
        <v>37316</v>
      </c>
      <c r="G104">
        <v>0.33704595806928828</v>
      </c>
      <c r="N104">
        <f t="shared" si="1"/>
        <v>3.6774958069288266E-2</v>
      </c>
    </row>
    <row r="105" spans="1:14" x14ac:dyDescent="0.2">
      <c r="A105" s="2">
        <v>37347</v>
      </c>
      <c r="B105">
        <v>0.3534389</v>
      </c>
      <c r="F105" s="2">
        <v>37347</v>
      </c>
      <c r="G105">
        <v>0.35276204748823281</v>
      </c>
      <c r="N105">
        <f t="shared" si="1"/>
        <v>-6.7685251176718975E-4</v>
      </c>
    </row>
    <row r="106" spans="1:14" x14ac:dyDescent="0.2">
      <c r="A106" s="2">
        <v>37377</v>
      </c>
      <c r="B106">
        <v>0.44532749999999999</v>
      </c>
      <c r="F106" s="2">
        <v>37377</v>
      </c>
      <c r="G106">
        <v>0.4756757791066164</v>
      </c>
      <c r="N106">
        <f>G106-B106</f>
        <v>3.0348279106616416E-2</v>
      </c>
    </row>
    <row r="107" spans="1:14" x14ac:dyDescent="0.2">
      <c r="A107" s="2">
        <v>37408</v>
      </c>
      <c r="B107">
        <v>0.65966959999999997</v>
      </c>
      <c r="F107" s="2">
        <v>37408</v>
      </c>
      <c r="G107">
        <v>0.64568830352006623</v>
      </c>
      <c r="N107">
        <f t="shared" ref="N107:N170" si="2">G107-B107</f>
        <v>-1.3981296479933736E-2</v>
      </c>
    </row>
    <row r="108" spans="1:14" x14ac:dyDescent="0.2">
      <c r="A108" s="2">
        <v>37438</v>
      </c>
      <c r="B108">
        <v>0.91185229999999995</v>
      </c>
      <c r="F108" s="2">
        <v>37438</v>
      </c>
      <c r="G108">
        <v>0.95741072501876467</v>
      </c>
      <c r="N108">
        <f t="shared" si="2"/>
        <v>4.5558425018764726E-2</v>
      </c>
    </row>
    <row r="109" spans="1:14" x14ac:dyDescent="0.2">
      <c r="A109" s="2">
        <v>37469</v>
      </c>
      <c r="B109">
        <v>0.58616140000000005</v>
      </c>
      <c r="F109" s="2">
        <v>37469</v>
      </c>
      <c r="G109">
        <v>0.52961100493259872</v>
      </c>
      <c r="N109">
        <f t="shared" si="2"/>
        <v>-5.6550395067401338E-2</v>
      </c>
    </row>
    <row r="110" spans="1:14" x14ac:dyDescent="0.2">
      <c r="A110" s="2">
        <v>37500</v>
      </c>
      <c r="B110">
        <v>0.67462299999999997</v>
      </c>
      <c r="F110" s="2">
        <v>37500</v>
      </c>
      <c r="G110">
        <v>0.56289668282809391</v>
      </c>
      <c r="N110">
        <f t="shared" si="2"/>
        <v>-0.11172631717190606</v>
      </c>
    </row>
    <row r="111" spans="1:14" x14ac:dyDescent="0.2">
      <c r="A111" s="2">
        <v>37530</v>
      </c>
      <c r="B111">
        <v>0.35775449999999998</v>
      </c>
      <c r="F111" s="2">
        <v>37530</v>
      </c>
      <c r="G111">
        <v>0.37307831643859002</v>
      </c>
      <c r="N111">
        <f t="shared" si="2"/>
        <v>1.5323816438590043E-2</v>
      </c>
    </row>
    <row r="112" spans="1:14" x14ac:dyDescent="0.2">
      <c r="A112" s="2">
        <v>37561</v>
      </c>
      <c r="B112">
        <v>0.57815640000000001</v>
      </c>
      <c r="F112" s="2">
        <v>37561</v>
      </c>
      <c r="G112">
        <v>0.43626459802924522</v>
      </c>
      <c r="N112">
        <f t="shared" si="2"/>
        <v>-0.14189180197075479</v>
      </c>
    </row>
    <row r="113" spans="1:14" x14ac:dyDescent="0.2">
      <c r="A113" s="2">
        <v>37591</v>
      </c>
      <c r="B113">
        <v>0.48589880000000002</v>
      </c>
      <c r="F113" s="2">
        <v>37591</v>
      </c>
      <c r="G113">
        <v>0.48862780396533262</v>
      </c>
      <c r="N113">
        <f t="shared" si="2"/>
        <v>2.7290039653325993E-3</v>
      </c>
    </row>
    <row r="114" spans="1:14" x14ac:dyDescent="0.2">
      <c r="A114" s="2">
        <v>37622</v>
      </c>
      <c r="B114">
        <v>0.53736220000000001</v>
      </c>
      <c r="F114" s="2">
        <v>37622</v>
      </c>
      <c r="G114">
        <v>0.49910956262498662</v>
      </c>
      <c r="N114">
        <f t="shared" si="2"/>
        <v>-3.8252637375013387E-2</v>
      </c>
    </row>
    <row r="115" spans="1:14" x14ac:dyDescent="0.2">
      <c r="A115" s="2">
        <v>37653</v>
      </c>
      <c r="B115">
        <v>0.61694070000000001</v>
      </c>
      <c r="F115" s="2">
        <v>37653</v>
      </c>
      <c r="G115">
        <v>0.56613010572762623</v>
      </c>
      <c r="N115">
        <f t="shared" si="2"/>
        <v>-5.0810594272373777E-2</v>
      </c>
    </row>
    <row r="116" spans="1:14" x14ac:dyDescent="0.2">
      <c r="A116" s="2">
        <v>37681</v>
      </c>
      <c r="B116">
        <v>0.77367549999999996</v>
      </c>
      <c r="F116" s="2">
        <v>37681</v>
      </c>
      <c r="G116">
        <v>0.62481071168335867</v>
      </c>
      <c r="N116">
        <f t="shared" si="2"/>
        <v>-0.14886478831664129</v>
      </c>
    </row>
    <row r="117" spans="1:14" x14ac:dyDescent="0.2">
      <c r="A117" s="2">
        <v>37712</v>
      </c>
      <c r="B117">
        <v>0.67229209999999995</v>
      </c>
      <c r="F117" s="2">
        <v>37712</v>
      </c>
      <c r="G117">
        <v>0.65626434376648179</v>
      </c>
      <c r="N117">
        <f t="shared" si="2"/>
        <v>-1.6027756233518153E-2</v>
      </c>
    </row>
    <row r="118" spans="1:14" x14ac:dyDescent="0.2">
      <c r="A118" s="2">
        <v>37742</v>
      </c>
      <c r="B118">
        <v>0.63599749999999999</v>
      </c>
      <c r="F118" s="2">
        <v>37742</v>
      </c>
      <c r="G118">
        <v>0.60051954460579293</v>
      </c>
      <c r="N118">
        <f t="shared" si="2"/>
        <v>-3.5477955394207061E-2</v>
      </c>
    </row>
    <row r="119" spans="1:14" x14ac:dyDescent="0.2">
      <c r="A119" s="2">
        <v>37773</v>
      </c>
      <c r="B119">
        <v>0.55650379999999999</v>
      </c>
      <c r="F119" s="2">
        <v>37773</v>
      </c>
      <c r="G119">
        <v>0.67824403577752268</v>
      </c>
      <c r="N119">
        <f t="shared" si="2"/>
        <v>0.12174023577752269</v>
      </c>
    </row>
    <row r="120" spans="1:14" x14ac:dyDescent="0.2">
      <c r="A120" s="2">
        <v>37803</v>
      </c>
      <c r="B120">
        <v>0.63473740000000001</v>
      </c>
      <c r="F120" s="2">
        <v>37803</v>
      </c>
      <c r="G120">
        <v>0.59448984382274761</v>
      </c>
      <c r="N120">
        <f t="shared" si="2"/>
        <v>-4.0247556177252397E-2</v>
      </c>
    </row>
    <row r="121" spans="1:14" x14ac:dyDescent="0.2">
      <c r="A121" s="2">
        <v>37834</v>
      </c>
      <c r="B121">
        <v>0.70251350000000001</v>
      </c>
      <c r="F121" s="2">
        <v>37834</v>
      </c>
      <c r="G121">
        <v>0.6061883457420838</v>
      </c>
      <c r="N121">
        <f t="shared" si="2"/>
        <v>-9.6325154257916212E-2</v>
      </c>
    </row>
    <row r="122" spans="1:14" x14ac:dyDescent="0.2">
      <c r="A122" s="2">
        <v>37865</v>
      </c>
      <c r="B122">
        <v>0.74580539999999995</v>
      </c>
      <c r="F122" s="2">
        <v>37865</v>
      </c>
      <c r="G122">
        <v>0.65760382137359941</v>
      </c>
      <c r="N122">
        <f t="shared" si="2"/>
        <v>-8.8201578626400545E-2</v>
      </c>
    </row>
    <row r="123" spans="1:14" x14ac:dyDescent="0.2">
      <c r="A123" s="2">
        <v>37895</v>
      </c>
      <c r="B123">
        <v>0.58728179999999996</v>
      </c>
      <c r="F123" s="2">
        <v>37895</v>
      </c>
      <c r="G123">
        <v>0.5685265273464718</v>
      </c>
      <c r="N123">
        <f t="shared" si="2"/>
        <v>-1.8755272653528166E-2</v>
      </c>
    </row>
    <row r="124" spans="1:14" x14ac:dyDescent="0.2">
      <c r="A124" s="2">
        <v>37926</v>
      </c>
      <c r="B124">
        <v>0.56787989999999999</v>
      </c>
      <c r="F124" s="2">
        <v>37926</v>
      </c>
      <c r="G124">
        <v>0.46194495794948609</v>
      </c>
      <c r="N124">
        <f t="shared" si="2"/>
        <v>-0.1059349420505139</v>
      </c>
    </row>
    <row r="125" spans="1:14" x14ac:dyDescent="0.2">
      <c r="A125" s="2">
        <v>37956</v>
      </c>
      <c r="B125">
        <v>0.4149948</v>
      </c>
      <c r="F125" s="2">
        <v>37956</v>
      </c>
      <c r="G125">
        <v>0.46462647625434378</v>
      </c>
      <c r="N125">
        <f t="shared" si="2"/>
        <v>4.9631676254343782E-2</v>
      </c>
    </row>
    <row r="126" spans="1:14" x14ac:dyDescent="0.2">
      <c r="A126" s="2">
        <v>37987</v>
      </c>
      <c r="B126">
        <v>0.74336800000000003</v>
      </c>
      <c r="F126" s="2">
        <v>37987</v>
      </c>
      <c r="G126">
        <v>0.76050157031237275</v>
      </c>
      <c r="N126">
        <f t="shared" si="2"/>
        <v>1.7133570312372726E-2</v>
      </c>
    </row>
    <row r="127" spans="1:14" x14ac:dyDescent="0.2">
      <c r="A127" s="2">
        <v>38018</v>
      </c>
      <c r="B127">
        <v>0.73552360000000006</v>
      </c>
      <c r="F127" s="2">
        <v>38018</v>
      </c>
      <c r="G127">
        <v>0.65982821047103835</v>
      </c>
      <c r="N127">
        <f t="shared" si="2"/>
        <v>-7.569538952896171E-2</v>
      </c>
    </row>
    <row r="128" spans="1:14" x14ac:dyDescent="0.2">
      <c r="A128" s="2">
        <v>38047</v>
      </c>
      <c r="B128">
        <v>0.67773240000000001</v>
      </c>
      <c r="F128" s="2">
        <v>38047</v>
      </c>
      <c r="G128">
        <v>0.64262891225255248</v>
      </c>
      <c r="N128">
        <f t="shared" si="2"/>
        <v>-3.5103487747447537E-2</v>
      </c>
    </row>
    <row r="129" spans="1:14" x14ac:dyDescent="0.2">
      <c r="A129" s="2">
        <v>38078</v>
      </c>
      <c r="B129">
        <v>0.71970520000000004</v>
      </c>
      <c r="F129" s="2">
        <v>38078</v>
      </c>
      <c r="G129">
        <v>0.7792311311241541</v>
      </c>
      <c r="N129">
        <f t="shared" si="2"/>
        <v>5.9525931124154052E-2</v>
      </c>
    </row>
    <row r="130" spans="1:14" x14ac:dyDescent="0.2">
      <c r="A130" s="2">
        <v>38108</v>
      </c>
      <c r="B130">
        <v>0.76569290000000001</v>
      </c>
      <c r="F130" s="2">
        <v>38108</v>
      </c>
      <c r="G130">
        <v>0.75268977511635549</v>
      </c>
      <c r="N130">
        <f t="shared" si="2"/>
        <v>-1.3003124883644523E-2</v>
      </c>
    </row>
    <row r="131" spans="1:14" x14ac:dyDescent="0.2">
      <c r="A131" s="2">
        <v>38139</v>
      </c>
      <c r="B131">
        <v>0.49817489999999998</v>
      </c>
      <c r="F131" s="2">
        <v>38139</v>
      </c>
      <c r="G131">
        <v>0.4993586543154318</v>
      </c>
      <c r="N131">
        <f t="shared" si="2"/>
        <v>1.1837543154318286E-3</v>
      </c>
    </row>
    <row r="132" spans="1:14" x14ac:dyDescent="0.2">
      <c r="A132" s="2">
        <v>38169</v>
      </c>
      <c r="B132">
        <v>0.54556459999999996</v>
      </c>
      <c r="F132" s="2">
        <v>38169</v>
      </c>
      <c r="G132">
        <v>0.52959631351590652</v>
      </c>
      <c r="N132">
        <f t="shared" si="2"/>
        <v>-1.596828648409343E-2</v>
      </c>
    </row>
    <row r="133" spans="1:14" x14ac:dyDescent="0.2">
      <c r="A133" s="2">
        <v>38200</v>
      </c>
      <c r="B133">
        <v>0.4821897</v>
      </c>
      <c r="F133" s="2">
        <v>38200</v>
      </c>
      <c r="G133">
        <v>0.5023986913845031</v>
      </c>
      <c r="N133">
        <f t="shared" si="2"/>
        <v>2.0208991384503106E-2</v>
      </c>
    </row>
    <row r="134" spans="1:14" x14ac:dyDescent="0.2">
      <c r="A134" s="2">
        <v>38231</v>
      </c>
      <c r="B134">
        <v>0.54068499999999997</v>
      </c>
      <c r="F134" s="2">
        <v>38231</v>
      </c>
      <c r="G134">
        <v>0.54656605379993706</v>
      </c>
      <c r="N134">
        <f t="shared" si="2"/>
        <v>5.881053799937086E-3</v>
      </c>
    </row>
    <row r="135" spans="1:14" x14ac:dyDescent="0.2">
      <c r="A135" s="2">
        <v>38261</v>
      </c>
      <c r="B135">
        <v>0.4811202</v>
      </c>
      <c r="F135" s="2">
        <v>38261</v>
      </c>
      <c r="G135">
        <v>0.46488569215241232</v>
      </c>
      <c r="N135">
        <f t="shared" si="2"/>
        <v>-1.6234507847587676E-2</v>
      </c>
    </row>
    <row r="136" spans="1:14" x14ac:dyDescent="0.2">
      <c r="A136" s="2">
        <v>38292</v>
      </c>
      <c r="B136">
        <v>0.28594170000000002</v>
      </c>
      <c r="F136" s="2">
        <v>38292</v>
      </c>
      <c r="G136">
        <v>0.28610546787744368</v>
      </c>
      <c r="N136">
        <f t="shared" si="2"/>
        <v>1.6376787744365462E-4</v>
      </c>
    </row>
    <row r="137" spans="1:14" x14ac:dyDescent="0.2">
      <c r="A137" s="2">
        <v>38322</v>
      </c>
      <c r="B137">
        <v>0.56562900000000005</v>
      </c>
      <c r="F137" s="2">
        <v>38322</v>
      </c>
      <c r="G137">
        <v>0.60273191930652259</v>
      </c>
      <c r="N137">
        <f t="shared" si="2"/>
        <v>3.7102919306522542E-2</v>
      </c>
    </row>
    <row r="138" spans="1:14" x14ac:dyDescent="0.2">
      <c r="A138" s="2">
        <v>38353</v>
      </c>
      <c r="B138">
        <v>0.56800899999999999</v>
      </c>
      <c r="F138" s="2">
        <v>38353</v>
      </c>
      <c r="G138">
        <v>0.65709978697764593</v>
      </c>
      <c r="N138">
        <f t="shared" si="2"/>
        <v>8.9090786977645942E-2</v>
      </c>
    </row>
    <row r="139" spans="1:14" x14ac:dyDescent="0.2">
      <c r="A139" s="2">
        <v>38384</v>
      </c>
      <c r="B139">
        <v>0.54458949999999995</v>
      </c>
      <c r="F139" s="2">
        <v>38384</v>
      </c>
      <c r="G139">
        <v>0.47766901615040852</v>
      </c>
      <c r="N139">
        <f t="shared" si="2"/>
        <v>-6.6920483849591428E-2</v>
      </c>
    </row>
    <row r="140" spans="1:14" x14ac:dyDescent="0.2">
      <c r="A140" s="2">
        <v>38412</v>
      </c>
      <c r="B140">
        <v>0.4545035</v>
      </c>
      <c r="F140" s="2">
        <v>38412</v>
      </c>
      <c r="G140">
        <v>0.44939303578062101</v>
      </c>
      <c r="N140">
        <f t="shared" si="2"/>
        <v>-5.1104642193789962E-3</v>
      </c>
    </row>
    <row r="141" spans="1:14" x14ac:dyDescent="0.2">
      <c r="A141" s="2">
        <v>38443</v>
      </c>
      <c r="B141">
        <v>0.54377439999999999</v>
      </c>
      <c r="F141" s="2">
        <v>38443</v>
      </c>
      <c r="G141">
        <v>0.56819913382319354</v>
      </c>
      <c r="N141">
        <f t="shared" si="2"/>
        <v>2.4424733823193545E-2</v>
      </c>
    </row>
    <row r="142" spans="1:14" x14ac:dyDescent="0.2">
      <c r="A142" s="2">
        <v>38473</v>
      </c>
      <c r="B142">
        <v>0.46159250000000002</v>
      </c>
      <c r="F142" s="2">
        <v>38473</v>
      </c>
      <c r="G142">
        <v>0.50168825368531667</v>
      </c>
      <c r="N142">
        <f t="shared" si="2"/>
        <v>4.0095753685316649E-2</v>
      </c>
    </row>
    <row r="143" spans="1:14" x14ac:dyDescent="0.2">
      <c r="A143" s="2">
        <v>38504</v>
      </c>
      <c r="B143">
        <v>0.64858229999999994</v>
      </c>
      <c r="F143" s="2">
        <v>38504</v>
      </c>
      <c r="G143">
        <v>0.46797239443851713</v>
      </c>
      <c r="N143">
        <f t="shared" si="2"/>
        <v>-0.18060990556148282</v>
      </c>
    </row>
    <row r="144" spans="1:14" x14ac:dyDescent="0.2">
      <c r="A144" s="2">
        <v>38534</v>
      </c>
      <c r="B144">
        <v>0.71402790000000005</v>
      </c>
      <c r="F144" s="2">
        <v>38534</v>
      </c>
      <c r="G144">
        <v>0.6311619371405589</v>
      </c>
      <c r="N144">
        <f t="shared" si="2"/>
        <v>-8.2865962859441145E-2</v>
      </c>
    </row>
    <row r="145" spans="1:14" x14ac:dyDescent="0.2">
      <c r="A145" s="2">
        <v>38565</v>
      </c>
      <c r="B145">
        <v>0.49418990000000002</v>
      </c>
      <c r="F145" s="2">
        <v>38565</v>
      </c>
      <c r="G145">
        <v>0.49841590885863468</v>
      </c>
      <c r="N145">
        <f t="shared" si="2"/>
        <v>4.2260088586346667E-3</v>
      </c>
    </row>
    <row r="146" spans="1:14" x14ac:dyDescent="0.2">
      <c r="A146" s="2">
        <v>38596</v>
      </c>
      <c r="B146">
        <v>0.61359459999999999</v>
      </c>
      <c r="F146" s="2">
        <v>38596</v>
      </c>
      <c r="G146">
        <v>0.63143633219281869</v>
      </c>
      <c r="N146">
        <f t="shared" si="2"/>
        <v>1.7841732192818704E-2</v>
      </c>
    </row>
    <row r="147" spans="1:14" x14ac:dyDescent="0.2">
      <c r="A147" s="2">
        <v>38626</v>
      </c>
      <c r="B147">
        <v>0.48698130000000001</v>
      </c>
      <c r="F147" s="2">
        <v>38626</v>
      </c>
      <c r="G147">
        <v>0.67409082469513393</v>
      </c>
      <c r="N147">
        <f t="shared" si="2"/>
        <v>0.18710952469513392</v>
      </c>
    </row>
    <row r="148" spans="1:14" x14ac:dyDescent="0.2">
      <c r="A148" s="2">
        <v>38657</v>
      </c>
      <c r="B148">
        <v>0.55826589999999998</v>
      </c>
      <c r="F148" s="2">
        <v>38657</v>
      </c>
      <c r="G148">
        <v>0.55245355274992547</v>
      </c>
      <c r="N148">
        <f t="shared" si="2"/>
        <v>-5.8123472500745121E-3</v>
      </c>
    </row>
    <row r="149" spans="1:14" x14ac:dyDescent="0.2">
      <c r="A149" s="2">
        <v>38687</v>
      </c>
      <c r="B149">
        <v>0.48887730000000001</v>
      </c>
      <c r="F149" s="2">
        <v>38687</v>
      </c>
      <c r="G149">
        <v>0.4973793683792368</v>
      </c>
      <c r="N149">
        <f t="shared" si="2"/>
        <v>8.5020683792367824E-3</v>
      </c>
    </row>
    <row r="150" spans="1:14" x14ac:dyDescent="0.2">
      <c r="A150" s="2">
        <v>38718</v>
      </c>
      <c r="B150">
        <v>0.6321156</v>
      </c>
      <c r="F150" s="2">
        <v>38718</v>
      </c>
      <c r="G150">
        <v>0.52522001810481589</v>
      </c>
      <c r="N150">
        <f t="shared" si="2"/>
        <v>-0.10689558189518411</v>
      </c>
    </row>
    <row r="151" spans="1:14" x14ac:dyDescent="0.2">
      <c r="A151" s="2">
        <v>38749</v>
      </c>
      <c r="B151">
        <v>0.3566127</v>
      </c>
      <c r="F151" s="2">
        <v>38749</v>
      </c>
      <c r="G151">
        <v>0.37179771903827669</v>
      </c>
      <c r="N151">
        <f t="shared" si="2"/>
        <v>1.5185019038276681E-2</v>
      </c>
    </row>
    <row r="152" spans="1:14" x14ac:dyDescent="0.2">
      <c r="A152" s="2">
        <v>38777</v>
      </c>
      <c r="B152">
        <v>0.51050050000000002</v>
      </c>
      <c r="F152" s="2">
        <v>38777</v>
      </c>
      <c r="G152">
        <v>0.58484599673775861</v>
      </c>
      <c r="N152">
        <f t="shared" si="2"/>
        <v>7.4345496737758587E-2</v>
      </c>
    </row>
    <row r="153" spans="1:14" x14ac:dyDescent="0.2">
      <c r="A153" s="2">
        <v>38808</v>
      </c>
      <c r="B153">
        <v>0.56692690000000001</v>
      </c>
      <c r="F153" s="2">
        <v>38808</v>
      </c>
      <c r="G153">
        <v>0.53300852536779697</v>
      </c>
      <c r="N153">
        <f t="shared" si="2"/>
        <v>-3.3918374632203041E-2</v>
      </c>
    </row>
    <row r="154" spans="1:14" x14ac:dyDescent="0.2">
      <c r="A154" s="2">
        <v>38838</v>
      </c>
      <c r="B154">
        <v>0.59162380000000003</v>
      </c>
      <c r="F154" s="2">
        <v>38838</v>
      </c>
      <c r="G154">
        <v>0.52785222137873666</v>
      </c>
      <c r="N154">
        <f t="shared" si="2"/>
        <v>-6.377157862126337E-2</v>
      </c>
    </row>
    <row r="155" spans="1:14" x14ac:dyDescent="0.2">
      <c r="A155" s="2">
        <v>38869</v>
      </c>
      <c r="B155">
        <v>0.61998200000000003</v>
      </c>
      <c r="F155" s="2">
        <v>38869</v>
      </c>
      <c r="G155">
        <v>0.65957925306272691</v>
      </c>
      <c r="N155">
        <f t="shared" si="2"/>
        <v>3.9597253062726878E-2</v>
      </c>
    </row>
    <row r="156" spans="1:14" x14ac:dyDescent="0.2">
      <c r="A156" s="2">
        <v>38899</v>
      </c>
      <c r="B156">
        <v>0.5657894</v>
      </c>
      <c r="F156" s="2">
        <v>38899</v>
      </c>
      <c r="G156">
        <v>0.60612782284393141</v>
      </c>
      <c r="N156">
        <f t="shared" si="2"/>
        <v>4.033842284393141E-2</v>
      </c>
    </row>
    <row r="157" spans="1:14" x14ac:dyDescent="0.2">
      <c r="A157" s="2">
        <v>38930</v>
      </c>
      <c r="B157">
        <v>0.43889420000000001</v>
      </c>
      <c r="F157" s="2">
        <v>38930</v>
      </c>
      <c r="G157">
        <v>0.51854495174961879</v>
      </c>
      <c r="N157">
        <f t="shared" si="2"/>
        <v>7.9650751749618776E-2</v>
      </c>
    </row>
    <row r="158" spans="1:14" x14ac:dyDescent="0.2">
      <c r="A158" s="2">
        <v>38961</v>
      </c>
      <c r="B158">
        <v>0.59588960000000002</v>
      </c>
      <c r="F158" s="2">
        <v>38961</v>
      </c>
      <c r="G158">
        <v>0.59736346129416673</v>
      </c>
      <c r="N158">
        <f t="shared" si="2"/>
        <v>1.4738612941667117E-3</v>
      </c>
    </row>
    <row r="159" spans="1:14" x14ac:dyDescent="0.2">
      <c r="A159" s="2">
        <v>38991</v>
      </c>
      <c r="B159">
        <v>0.34496850000000001</v>
      </c>
      <c r="F159" s="2">
        <v>38991</v>
      </c>
      <c r="G159">
        <v>0.37660347238659481</v>
      </c>
      <c r="N159">
        <f t="shared" si="2"/>
        <v>3.1634972386594795E-2</v>
      </c>
    </row>
    <row r="160" spans="1:14" x14ac:dyDescent="0.2">
      <c r="A160" s="2">
        <v>39022</v>
      </c>
      <c r="B160">
        <v>0.34749600000000003</v>
      </c>
      <c r="F160" s="2">
        <v>39022</v>
      </c>
      <c r="G160">
        <v>0.34236105387266169</v>
      </c>
      <c r="N160">
        <f t="shared" si="2"/>
        <v>-5.1349461273383357E-3</v>
      </c>
    </row>
    <row r="161" spans="1:14" x14ac:dyDescent="0.2">
      <c r="A161" s="2">
        <v>39052</v>
      </c>
      <c r="B161">
        <v>0.36504950000000003</v>
      </c>
      <c r="F161" s="2">
        <v>39052</v>
      </c>
      <c r="G161">
        <v>0.35214915000822461</v>
      </c>
      <c r="N161">
        <f t="shared" si="2"/>
        <v>-1.2900349991775417E-2</v>
      </c>
    </row>
    <row r="162" spans="1:14" x14ac:dyDescent="0.2">
      <c r="A162" s="2">
        <v>39083</v>
      </c>
      <c r="B162">
        <v>0.43026239999999999</v>
      </c>
      <c r="F162" s="2">
        <v>39083</v>
      </c>
      <c r="G162">
        <v>0.42902061655394458</v>
      </c>
      <c r="N162">
        <f t="shared" si="2"/>
        <v>-1.2417834460554111E-3</v>
      </c>
    </row>
    <row r="163" spans="1:14" x14ac:dyDescent="0.2">
      <c r="A163" s="2">
        <v>39114</v>
      </c>
      <c r="B163">
        <v>0.32808749999999998</v>
      </c>
      <c r="F163" s="2">
        <v>39114</v>
      </c>
      <c r="G163">
        <v>0.36066048904055742</v>
      </c>
      <c r="N163">
        <f t="shared" si="2"/>
        <v>3.2572989040557443E-2</v>
      </c>
    </row>
    <row r="164" spans="1:14" x14ac:dyDescent="0.2">
      <c r="A164" s="2">
        <v>39142</v>
      </c>
      <c r="B164">
        <v>0.34838910000000001</v>
      </c>
      <c r="F164" s="2">
        <v>39142</v>
      </c>
      <c r="G164">
        <v>0.2894494405035164</v>
      </c>
      <c r="N164">
        <f t="shared" si="2"/>
        <v>-5.893965949648361E-2</v>
      </c>
    </row>
    <row r="165" spans="1:14" x14ac:dyDescent="0.2">
      <c r="A165" s="2">
        <v>39173</v>
      </c>
      <c r="B165">
        <v>0.24257709999999999</v>
      </c>
      <c r="F165" s="2">
        <v>39173</v>
      </c>
      <c r="G165">
        <v>0.2898477501066154</v>
      </c>
      <c r="N165">
        <f t="shared" si="2"/>
        <v>4.7270650106615408E-2</v>
      </c>
    </row>
    <row r="166" spans="1:14" x14ac:dyDescent="0.2">
      <c r="A166" s="2">
        <v>39203</v>
      </c>
      <c r="B166">
        <v>0.31557429999999997</v>
      </c>
      <c r="F166" s="2">
        <v>39203</v>
      </c>
      <c r="G166">
        <v>0.31197319426738379</v>
      </c>
      <c r="N166">
        <f t="shared" si="2"/>
        <v>-3.6011057326161833E-3</v>
      </c>
    </row>
    <row r="167" spans="1:14" x14ac:dyDescent="0.2">
      <c r="A167" s="2">
        <v>39234</v>
      </c>
      <c r="B167">
        <v>0.32593499999999997</v>
      </c>
      <c r="F167" s="2">
        <v>39234</v>
      </c>
      <c r="G167">
        <v>0.33517953893106522</v>
      </c>
      <c r="N167">
        <f t="shared" si="2"/>
        <v>9.2445389310652493E-3</v>
      </c>
    </row>
    <row r="168" spans="1:14" x14ac:dyDescent="0.2">
      <c r="A168" s="2">
        <v>39264</v>
      </c>
      <c r="B168">
        <v>0.31039499999999998</v>
      </c>
      <c r="F168" s="2">
        <v>39264</v>
      </c>
      <c r="G168">
        <v>0.33537740780192687</v>
      </c>
      <c r="N168">
        <f t="shared" si="2"/>
        <v>2.4982407801926898E-2</v>
      </c>
    </row>
    <row r="169" spans="1:14" x14ac:dyDescent="0.2">
      <c r="A169" s="2">
        <v>39295</v>
      </c>
      <c r="B169">
        <v>0.47616979999999998</v>
      </c>
      <c r="F169" s="2">
        <v>39295</v>
      </c>
      <c r="G169">
        <v>0.44986768168820318</v>
      </c>
      <c r="N169">
        <f t="shared" si="2"/>
        <v>-2.6302118311796796E-2</v>
      </c>
    </row>
    <row r="170" spans="1:14" x14ac:dyDescent="0.2">
      <c r="A170" s="2">
        <v>39326</v>
      </c>
      <c r="B170">
        <v>0.34411069999999999</v>
      </c>
      <c r="F170" s="2">
        <v>39326</v>
      </c>
      <c r="G170">
        <v>0.2963199419227161</v>
      </c>
      <c r="N170">
        <f t="shared" si="2"/>
        <v>-4.779075807728389E-2</v>
      </c>
    </row>
    <row r="171" spans="1:14" x14ac:dyDescent="0.2">
      <c r="A171" s="2">
        <v>39356</v>
      </c>
      <c r="B171">
        <v>0.48231010000000002</v>
      </c>
      <c r="F171" s="2">
        <v>39356</v>
      </c>
      <c r="G171">
        <v>0.47168771458908659</v>
      </c>
      <c r="N171">
        <f t="shared" ref="N171:N184" si="3">G171-B171</f>
        <v>-1.0622385410913426E-2</v>
      </c>
    </row>
    <row r="172" spans="1:14" x14ac:dyDescent="0.2">
      <c r="A172" s="2">
        <v>39387</v>
      </c>
      <c r="B172">
        <v>0.46654109999999999</v>
      </c>
      <c r="F172" s="2">
        <v>39387</v>
      </c>
      <c r="G172">
        <v>0.46684434396559982</v>
      </c>
      <c r="N172">
        <f t="shared" si="3"/>
        <v>3.0324396559983091E-4</v>
      </c>
    </row>
    <row r="173" spans="1:14" x14ac:dyDescent="0.2">
      <c r="A173" s="2">
        <v>39417</v>
      </c>
      <c r="B173">
        <v>0.60618939999999999</v>
      </c>
      <c r="F173" s="2">
        <v>39417</v>
      </c>
      <c r="G173">
        <v>0.57162359423750353</v>
      </c>
      <c r="N173">
        <f t="shared" si="3"/>
        <v>-3.456580576249646E-2</v>
      </c>
    </row>
    <row r="174" spans="1:14" x14ac:dyDescent="0.2">
      <c r="A174" s="2">
        <v>39448</v>
      </c>
      <c r="B174">
        <v>0.49732140000000002</v>
      </c>
      <c r="F174" s="2">
        <v>39448</v>
      </c>
      <c r="G174">
        <v>0.4767842769490343</v>
      </c>
      <c r="N174">
        <f t="shared" si="3"/>
        <v>-2.0537123050965722E-2</v>
      </c>
    </row>
    <row r="175" spans="1:14" x14ac:dyDescent="0.2">
      <c r="A175" s="2">
        <v>39479</v>
      </c>
      <c r="B175">
        <v>0.51759379999999999</v>
      </c>
      <c r="F175" s="2">
        <v>39479</v>
      </c>
      <c r="G175">
        <v>0.46501819413729428</v>
      </c>
      <c r="N175">
        <f t="shared" si="3"/>
        <v>-5.257560586270571E-2</v>
      </c>
    </row>
    <row r="176" spans="1:14" x14ac:dyDescent="0.2">
      <c r="A176" s="2">
        <v>39508</v>
      </c>
      <c r="B176">
        <v>0.70175310000000002</v>
      </c>
      <c r="F176" s="2">
        <v>39508</v>
      </c>
      <c r="G176">
        <v>0.66512189328379023</v>
      </c>
      <c r="N176">
        <f t="shared" si="3"/>
        <v>-3.6631206716209785E-2</v>
      </c>
    </row>
    <row r="177" spans="1:14" x14ac:dyDescent="0.2">
      <c r="A177" s="2">
        <v>39539</v>
      </c>
      <c r="B177">
        <v>0.62786169999999997</v>
      </c>
      <c r="F177" s="2">
        <v>39539</v>
      </c>
      <c r="G177">
        <v>0.68865487960238969</v>
      </c>
      <c r="N177">
        <f t="shared" si="3"/>
        <v>6.0793179602389724E-2</v>
      </c>
    </row>
    <row r="178" spans="1:14" x14ac:dyDescent="0.2">
      <c r="A178" s="2">
        <v>39569</v>
      </c>
      <c r="B178">
        <v>0.44835970000000003</v>
      </c>
      <c r="F178" s="2">
        <v>39569</v>
      </c>
      <c r="G178">
        <v>0.48757835942885858</v>
      </c>
      <c r="N178">
        <f t="shared" si="3"/>
        <v>3.9218659428858549E-2</v>
      </c>
    </row>
    <row r="179" spans="1:14" x14ac:dyDescent="0.2">
      <c r="A179" s="2">
        <v>39600</v>
      </c>
      <c r="B179">
        <v>0.71626179999999995</v>
      </c>
      <c r="F179" s="2">
        <v>39600</v>
      </c>
      <c r="G179">
        <v>0.7101615958358436</v>
      </c>
      <c r="N179">
        <f t="shared" si="3"/>
        <v>-6.1002041641563531E-3</v>
      </c>
    </row>
    <row r="180" spans="1:14" x14ac:dyDescent="0.2">
      <c r="A180" s="2">
        <v>39630</v>
      </c>
      <c r="B180">
        <v>0.5632028</v>
      </c>
      <c r="F180" s="2">
        <v>39630</v>
      </c>
      <c r="G180">
        <v>0.50700736286785786</v>
      </c>
      <c r="N180">
        <f t="shared" si="3"/>
        <v>-5.6195437132142145E-2</v>
      </c>
    </row>
    <row r="181" spans="1:14" x14ac:dyDescent="0.2">
      <c r="A181" s="2">
        <v>39661</v>
      </c>
      <c r="B181">
        <v>1.0194160000000001</v>
      </c>
      <c r="F181" s="2">
        <v>39661</v>
      </c>
      <c r="G181">
        <v>0.94626769218205109</v>
      </c>
      <c r="N181">
        <f t="shared" si="3"/>
        <v>-7.314830781794901E-2</v>
      </c>
    </row>
    <row r="182" spans="1:14" x14ac:dyDescent="0.2">
      <c r="A182" s="2">
        <v>39692</v>
      </c>
      <c r="B182">
        <v>1.108447</v>
      </c>
      <c r="F182" s="2">
        <v>39692</v>
      </c>
      <c r="G182">
        <v>0.91774092990875245</v>
      </c>
      <c r="N182">
        <f t="shared" si="3"/>
        <v>-0.19070607009124751</v>
      </c>
    </row>
    <row r="183" spans="1:14" x14ac:dyDescent="0.2">
      <c r="A183" s="2">
        <v>39722</v>
      </c>
      <c r="B183">
        <v>1.259234</v>
      </c>
      <c r="F183" s="2">
        <v>39722</v>
      </c>
      <c r="G183">
        <v>1.370188385672412</v>
      </c>
      <c r="N183">
        <f t="shared" si="3"/>
        <v>0.110954385672412</v>
      </c>
    </row>
    <row r="184" spans="1:14" x14ac:dyDescent="0.2">
      <c r="A184" s="2">
        <v>39753</v>
      </c>
      <c r="B184">
        <v>0.83648069999999997</v>
      </c>
      <c r="F184" s="2">
        <v>39753</v>
      </c>
      <c r="G184">
        <v>1.06537817592286</v>
      </c>
      <c r="N184">
        <f t="shared" si="3"/>
        <v>0.22889747592286003</v>
      </c>
    </row>
    <row r="185" spans="1:14" x14ac:dyDescent="0.2">
      <c r="A185" s="2">
        <v>39783</v>
      </c>
      <c r="B185">
        <v>1.6724289999999999</v>
      </c>
      <c r="F185" s="2">
        <v>39783</v>
      </c>
      <c r="G185">
        <v>1.657066231742881</v>
      </c>
      <c r="N185">
        <f>G185-B185</f>
        <v>-1.5362768257118908E-2</v>
      </c>
    </row>
    <row r="186" spans="1:14" x14ac:dyDescent="0.2">
      <c r="A186" s="2">
        <v>39814</v>
      </c>
      <c r="B186">
        <v>1.1519729999999999</v>
      </c>
      <c r="F186" s="2">
        <v>39814</v>
      </c>
      <c r="G186">
        <v>1.1985109740700299</v>
      </c>
      <c r="N186">
        <f t="shared" ref="N186:N249" si="4">G186-B186</f>
        <v>4.6537974070030019E-2</v>
      </c>
    </row>
    <row r="187" spans="1:14" x14ac:dyDescent="0.2">
      <c r="A187" s="2">
        <v>39845</v>
      </c>
      <c r="B187">
        <v>0.78661300000000001</v>
      </c>
      <c r="F187" s="2">
        <v>39845</v>
      </c>
      <c r="G187">
        <v>0.8181276692180206</v>
      </c>
      <c r="N187">
        <f t="shared" si="4"/>
        <v>3.1514669218020597E-2</v>
      </c>
    </row>
    <row r="188" spans="1:14" x14ac:dyDescent="0.2">
      <c r="A188" s="2">
        <v>39873</v>
      </c>
      <c r="B188">
        <v>1.2415799999999999</v>
      </c>
      <c r="F188" s="2">
        <v>39873</v>
      </c>
      <c r="G188">
        <v>1.292426233285294</v>
      </c>
      <c r="N188">
        <f t="shared" si="4"/>
        <v>5.084623328529414E-2</v>
      </c>
    </row>
    <row r="189" spans="1:14" x14ac:dyDescent="0.2">
      <c r="A189" s="2">
        <v>39904</v>
      </c>
      <c r="B189">
        <v>0.93793090000000001</v>
      </c>
      <c r="F189" s="2">
        <v>39904</v>
      </c>
      <c r="G189">
        <v>0.89628088351516633</v>
      </c>
      <c r="N189">
        <f t="shared" si="4"/>
        <v>-4.1650016484833685E-2</v>
      </c>
    </row>
    <row r="190" spans="1:14" x14ac:dyDescent="0.2">
      <c r="A190" s="2">
        <v>39934</v>
      </c>
      <c r="B190">
        <v>0.66817839999999995</v>
      </c>
      <c r="F190" s="2">
        <v>39934</v>
      </c>
      <c r="G190">
        <v>0.65602845315417391</v>
      </c>
      <c r="N190">
        <f t="shared" si="4"/>
        <v>-1.2149946845826043E-2</v>
      </c>
    </row>
    <row r="191" spans="1:14" x14ac:dyDescent="0.2">
      <c r="A191" s="2">
        <v>39965</v>
      </c>
      <c r="B191">
        <v>0.72737790000000002</v>
      </c>
      <c r="F191" s="2">
        <v>39965</v>
      </c>
      <c r="G191">
        <v>0.72054590993647993</v>
      </c>
      <c r="N191">
        <f t="shared" si="4"/>
        <v>-6.8319900635200881E-3</v>
      </c>
    </row>
    <row r="192" spans="1:14" x14ac:dyDescent="0.2">
      <c r="A192" s="2">
        <v>39995</v>
      </c>
      <c r="B192">
        <v>0.54428710000000002</v>
      </c>
      <c r="F192" s="2">
        <v>39995</v>
      </c>
      <c r="G192">
        <v>0.53253116466555117</v>
      </c>
      <c r="N192">
        <f t="shared" si="4"/>
        <v>-1.1755935334448853E-2</v>
      </c>
    </row>
    <row r="193" spans="1:14" x14ac:dyDescent="0.2">
      <c r="A193" s="2">
        <v>40026</v>
      </c>
      <c r="B193">
        <v>0.64993480000000003</v>
      </c>
      <c r="F193" s="2">
        <v>40026</v>
      </c>
      <c r="G193">
        <v>0.74363067705850039</v>
      </c>
      <c r="N193">
        <f t="shared" si="4"/>
        <v>9.3695877058500354E-2</v>
      </c>
    </row>
    <row r="194" spans="1:14" x14ac:dyDescent="0.2">
      <c r="A194" s="2">
        <v>40057</v>
      </c>
      <c r="B194">
        <v>0.4961063</v>
      </c>
      <c r="F194" s="2">
        <v>40057</v>
      </c>
      <c r="G194">
        <v>0.44987854358415441</v>
      </c>
      <c r="N194">
        <f t="shared" si="4"/>
        <v>-4.6227756415845589E-2</v>
      </c>
    </row>
    <row r="195" spans="1:14" x14ac:dyDescent="0.2">
      <c r="A195" s="2">
        <v>40087</v>
      </c>
      <c r="B195">
        <v>0.43349300000000002</v>
      </c>
      <c r="F195" s="2">
        <v>40087</v>
      </c>
      <c r="G195">
        <v>0.43930495691694982</v>
      </c>
      <c r="N195">
        <f t="shared" si="4"/>
        <v>5.8119569169498009E-3</v>
      </c>
    </row>
    <row r="196" spans="1:14" x14ac:dyDescent="0.2">
      <c r="A196" s="2">
        <v>40118</v>
      </c>
      <c r="B196">
        <v>0.62934780000000001</v>
      </c>
      <c r="F196" s="2">
        <v>40118</v>
      </c>
      <c r="G196">
        <v>0.61572542028464461</v>
      </c>
      <c r="N196">
        <f t="shared" si="4"/>
        <v>-1.3622379715355404E-2</v>
      </c>
    </row>
    <row r="197" spans="1:14" x14ac:dyDescent="0.2">
      <c r="A197" s="2">
        <v>40148</v>
      </c>
      <c r="B197">
        <v>0.62060700000000002</v>
      </c>
      <c r="F197" s="2">
        <v>40148</v>
      </c>
      <c r="G197">
        <v>0.48706014370893341</v>
      </c>
      <c r="N197">
        <f t="shared" si="4"/>
        <v>-0.13354685629106661</v>
      </c>
    </row>
    <row r="198" spans="1:14" x14ac:dyDescent="0.2">
      <c r="A198" s="2">
        <v>40179</v>
      </c>
      <c r="B198">
        <v>0.60621139999999996</v>
      </c>
      <c r="F198" s="2">
        <v>40179</v>
      </c>
      <c r="G198">
        <v>0.53487589409048542</v>
      </c>
      <c r="N198">
        <f t="shared" si="4"/>
        <v>-7.1335505909514541E-2</v>
      </c>
    </row>
    <row r="199" spans="1:14" x14ac:dyDescent="0.2">
      <c r="A199" s="2">
        <v>40210</v>
      </c>
      <c r="B199">
        <v>0.61473580000000005</v>
      </c>
      <c r="F199" s="2">
        <v>40210</v>
      </c>
      <c r="G199">
        <v>0.60078454522231572</v>
      </c>
      <c r="N199">
        <f t="shared" si="4"/>
        <v>-1.395125477768433E-2</v>
      </c>
    </row>
    <row r="200" spans="1:14" x14ac:dyDescent="0.2">
      <c r="A200" s="2">
        <v>40238</v>
      </c>
      <c r="B200">
        <v>0.57814719999999997</v>
      </c>
      <c r="F200" s="2">
        <v>40238</v>
      </c>
      <c r="G200">
        <v>0.61269901330602405</v>
      </c>
      <c r="N200">
        <f t="shared" si="4"/>
        <v>3.4551813306024082E-2</v>
      </c>
    </row>
    <row r="201" spans="1:14" x14ac:dyDescent="0.2">
      <c r="A201" s="2">
        <v>40269</v>
      </c>
      <c r="B201">
        <v>0.50904559999999999</v>
      </c>
      <c r="F201" s="2">
        <v>40269</v>
      </c>
      <c r="G201">
        <v>0.51529543399083222</v>
      </c>
      <c r="N201">
        <f t="shared" si="4"/>
        <v>6.249833990832232E-3</v>
      </c>
    </row>
    <row r="202" spans="1:14" x14ac:dyDescent="0.2">
      <c r="A202" s="2">
        <v>40299</v>
      </c>
      <c r="B202">
        <v>1.090255</v>
      </c>
      <c r="F202" s="2">
        <v>40299</v>
      </c>
      <c r="G202">
        <v>1.05819147133473</v>
      </c>
      <c r="N202">
        <f t="shared" si="4"/>
        <v>-3.2063528665269958E-2</v>
      </c>
    </row>
    <row r="203" spans="1:14" x14ac:dyDescent="0.2">
      <c r="A203" s="2">
        <v>40330</v>
      </c>
      <c r="B203">
        <v>0.71950769999999997</v>
      </c>
      <c r="F203" s="2">
        <v>40330</v>
      </c>
      <c r="G203">
        <v>0.74055231407610411</v>
      </c>
      <c r="N203">
        <f t="shared" si="4"/>
        <v>2.104461407610414E-2</v>
      </c>
    </row>
    <row r="204" spans="1:14" x14ac:dyDescent="0.2">
      <c r="A204" s="2">
        <v>40360</v>
      </c>
      <c r="B204">
        <v>0.65262379999999998</v>
      </c>
      <c r="F204" s="2">
        <v>40360</v>
      </c>
      <c r="G204">
        <v>0.62224132307890867</v>
      </c>
      <c r="N204">
        <f t="shared" si="4"/>
        <v>-3.0382476921091306E-2</v>
      </c>
    </row>
    <row r="205" spans="1:14" x14ac:dyDescent="0.2">
      <c r="A205" s="2">
        <v>40391</v>
      </c>
      <c r="B205">
        <v>0.6310926</v>
      </c>
      <c r="F205" s="2">
        <v>40391</v>
      </c>
      <c r="G205">
        <v>0.6973847231073903</v>
      </c>
      <c r="N205">
        <f t="shared" si="4"/>
        <v>6.6292123107390299E-2</v>
      </c>
    </row>
    <row r="206" spans="1:14" x14ac:dyDescent="0.2">
      <c r="A206" s="2">
        <v>40422</v>
      </c>
      <c r="B206">
        <v>0.59888560000000002</v>
      </c>
      <c r="F206" s="2">
        <v>40422</v>
      </c>
      <c r="G206">
        <v>0.59673637039444227</v>
      </c>
      <c r="N206">
        <f t="shared" si="4"/>
        <v>-2.1492296055577453E-3</v>
      </c>
    </row>
    <row r="207" spans="1:14" x14ac:dyDescent="0.2">
      <c r="A207" s="2">
        <v>40452</v>
      </c>
      <c r="B207">
        <v>0.66394169999999997</v>
      </c>
      <c r="F207" s="2">
        <v>40452</v>
      </c>
      <c r="G207">
        <v>0.71828389543069215</v>
      </c>
      <c r="N207">
        <f t="shared" si="4"/>
        <v>5.4342195430692186E-2</v>
      </c>
    </row>
    <row r="208" spans="1:14" x14ac:dyDescent="0.2">
      <c r="A208" s="2">
        <v>40483</v>
      </c>
      <c r="B208">
        <v>0.84859640000000003</v>
      </c>
      <c r="F208" s="2">
        <v>40483</v>
      </c>
      <c r="G208">
        <v>0.79414514757510313</v>
      </c>
      <c r="N208">
        <f t="shared" si="4"/>
        <v>-5.4451252424896901E-2</v>
      </c>
    </row>
    <row r="209" spans="1:14" x14ac:dyDescent="0.2">
      <c r="A209" s="2">
        <v>40513</v>
      </c>
      <c r="B209">
        <v>0.63460349999999999</v>
      </c>
      <c r="F209" s="2">
        <v>40513</v>
      </c>
      <c r="G209">
        <v>0.68115205192218176</v>
      </c>
      <c r="N209">
        <f t="shared" si="4"/>
        <v>4.6548551922181769E-2</v>
      </c>
    </row>
    <row r="210" spans="1:14" x14ac:dyDescent="0.2">
      <c r="A210" s="2">
        <v>40544</v>
      </c>
      <c r="B210">
        <v>0.80661280000000002</v>
      </c>
      <c r="F210" s="2">
        <v>40544</v>
      </c>
      <c r="G210">
        <v>0.86987349749805742</v>
      </c>
      <c r="N210">
        <f t="shared" si="4"/>
        <v>6.3260697498057405E-2</v>
      </c>
    </row>
    <row r="211" spans="1:14" x14ac:dyDescent="0.2">
      <c r="A211" s="2">
        <v>40575</v>
      </c>
      <c r="B211">
        <v>0.45973340000000001</v>
      </c>
      <c r="F211" s="2">
        <v>40575</v>
      </c>
      <c r="G211">
        <v>0.55409144694371493</v>
      </c>
      <c r="N211">
        <f t="shared" si="4"/>
        <v>9.4358046943714913E-2</v>
      </c>
    </row>
    <row r="212" spans="1:14" x14ac:dyDescent="0.2">
      <c r="A212" s="2">
        <v>40603</v>
      </c>
      <c r="B212">
        <v>0.52561769999999997</v>
      </c>
      <c r="F212" s="2">
        <v>40603</v>
      </c>
      <c r="G212">
        <v>0.54355668739618745</v>
      </c>
      <c r="N212">
        <f t="shared" si="4"/>
        <v>1.7938987396187489E-2</v>
      </c>
    </row>
    <row r="213" spans="1:14" x14ac:dyDescent="0.2">
      <c r="A213" s="2">
        <v>40634</v>
      </c>
      <c r="B213">
        <v>0.60345369999999998</v>
      </c>
      <c r="F213" s="2">
        <v>40634</v>
      </c>
      <c r="G213">
        <v>0.59689878464659019</v>
      </c>
      <c r="N213">
        <f t="shared" si="4"/>
        <v>-6.5549153534097959E-3</v>
      </c>
    </row>
    <row r="214" spans="1:14" x14ac:dyDescent="0.2">
      <c r="A214" s="2">
        <v>40664</v>
      </c>
      <c r="B214">
        <v>0.8109594</v>
      </c>
      <c r="F214" s="2">
        <v>40664</v>
      </c>
      <c r="G214">
        <v>0.67699524679751544</v>
      </c>
      <c r="N214">
        <f t="shared" si="4"/>
        <v>-0.13396415320248456</v>
      </c>
    </row>
    <row r="215" spans="1:14" x14ac:dyDescent="0.2">
      <c r="A215" s="2">
        <v>40695</v>
      </c>
      <c r="B215">
        <v>0.72097259999999996</v>
      </c>
      <c r="F215" s="2">
        <v>40695</v>
      </c>
      <c r="G215">
        <v>0.77536224683024679</v>
      </c>
      <c r="N215">
        <f t="shared" si="4"/>
        <v>5.4389646830246829E-2</v>
      </c>
    </row>
    <row r="216" spans="1:14" x14ac:dyDescent="0.2">
      <c r="A216" s="2">
        <v>40725</v>
      </c>
      <c r="B216">
        <v>0.69406270000000003</v>
      </c>
      <c r="F216" s="2">
        <v>40725</v>
      </c>
      <c r="G216">
        <v>0.77227770840651466</v>
      </c>
      <c r="N216">
        <f t="shared" si="4"/>
        <v>7.821500840651463E-2</v>
      </c>
    </row>
    <row r="217" spans="1:14" x14ac:dyDescent="0.2">
      <c r="A217" s="2">
        <v>40756</v>
      </c>
      <c r="B217">
        <v>0.74124939999999995</v>
      </c>
      <c r="F217" s="2">
        <v>40756</v>
      </c>
      <c r="G217">
        <v>0.87288213509084667</v>
      </c>
      <c r="N217">
        <f t="shared" si="4"/>
        <v>0.13163273509084672</v>
      </c>
    </row>
    <row r="218" spans="1:14" x14ac:dyDescent="0.2">
      <c r="A218" s="2">
        <v>40787</v>
      </c>
      <c r="B218">
        <v>0.68132329999999997</v>
      </c>
      <c r="F218" s="2">
        <v>40787</v>
      </c>
      <c r="G218">
        <v>0.85801221315505982</v>
      </c>
      <c r="N218">
        <f t="shared" si="4"/>
        <v>0.17668891315505986</v>
      </c>
    </row>
    <row r="219" spans="1:14" x14ac:dyDescent="0.2">
      <c r="A219" s="2">
        <v>40817</v>
      </c>
      <c r="B219">
        <v>0.66339170000000003</v>
      </c>
      <c r="F219" s="2">
        <v>40817</v>
      </c>
      <c r="G219">
        <v>0.84835918986808556</v>
      </c>
      <c r="N219">
        <f t="shared" si="4"/>
        <v>0.18496748986808553</v>
      </c>
    </row>
    <row r="220" spans="1:14" x14ac:dyDescent="0.2">
      <c r="A220" s="2">
        <v>40848</v>
      </c>
      <c r="B220">
        <v>0.90922049999999999</v>
      </c>
      <c r="F220" s="2">
        <v>40848</v>
      </c>
      <c r="G220">
        <v>0.75381875805746101</v>
      </c>
      <c r="N220">
        <f t="shared" si="4"/>
        <v>-0.15540174194253897</v>
      </c>
    </row>
    <row r="221" spans="1:14" x14ac:dyDescent="0.2">
      <c r="A221" s="2">
        <v>40878</v>
      </c>
      <c r="B221">
        <v>0.52437210000000001</v>
      </c>
      <c r="F221" s="2">
        <v>40878</v>
      </c>
      <c r="G221">
        <v>0.53209058416398103</v>
      </c>
      <c r="N221">
        <f t="shared" si="4"/>
        <v>7.7184841639810209E-3</v>
      </c>
    </row>
    <row r="222" spans="1:14" x14ac:dyDescent="0.2">
      <c r="A222" s="2">
        <v>40909</v>
      </c>
      <c r="B222">
        <v>0.64733169999999995</v>
      </c>
      <c r="F222" s="2">
        <v>40909</v>
      </c>
      <c r="G222">
        <v>0.6989896024841874</v>
      </c>
      <c r="N222">
        <f t="shared" si="4"/>
        <v>5.1657902484187446E-2</v>
      </c>
    </row>
    <row r="223" spans="1:14" x14ac:dyDescent="0.2">
      <c r="A223" s="2">
        <v>40940</v>
      </c>
      <c r="B223">
        <v>0.67112830000000001</v>
      </c>
      <c r="F223" s="2">
        <v>40940</v>
      </c>
      <c r="G223">
        <v>0.67769783518887905</v>
      </c>
      <c r="N223">
        <f t="shared" si="4"/>
        <v>6.5695351888790388E-3</v>
      </c>
    </row>
    <row r="224" spans="1:14" x14ac:dyDescent="0.2">
      <c r="A224" s="2">
        <v>40969</v>
      </c>
      <c r="B224">
        <v>0.4954559</v>
      </c>
      <c r="F224" s="2">
        <v>40969</v>
      </c>
      <c r="G224">
        <v>0.53025443747579437</v>
      </c>
      <c r="N224">
        <f t="shared" si="4"/>
        <v>3.4798537475794367E-2</v>
      </c>
    </row>
    <row r="225" spans="1:14" x14ac:dyDescent="0.2">
      <c r="A225" s="2">
        <v>41000</v>
      </c>
      <c r="B225">
        <v>0.41238209999999997</v>
      </c>
      <c r="F225" s="2">
        <v>41000</v>
      </c>
      <c r="G225">
        <v>0.50704752809509523</v>
      </c>
      <c r="N225">
        <f t="shared" si="4"/>
        <v>9.4665428095095261E-2</v>
      </c>
    </row>
    <row r="226" spans="1:14" x14ac:dyDescent="0.2">
      <c r="A226" s="2">
        <v>41030</v>
      </c>
      <c r="B226">
        <v>0.37729950000000001</v>
      </c>
      <c r="F226" s="2">
        <v>41030</v>
      </c>
      <c r="G226">
        <v>0.38923779042333612</v>
      </c>
      <c r="N226">
        <f t="shared" si="4"/>
        <v>1.1938290423336106E-2</v>
      </c>
    </row>
    <row r="227" spans="1:14" x14ac:dyDescent="0.2">
      <c r="A227" s="2">
        <v>41061</v>
      </c>
      <c r="B227">
        <v>0.62471840000000001</v>
      </c>
      <c r="F227" s="2">
        <v>41061</v>
      </c>
      <c r="G227">
        <v>0.67041435803100968</v>
      </c>
      <c r="N227">
        <f t="shared" si="4"/>
        <v>4.5695958031009676E-2</v>
      </c>
    </row>
    <row r="228" spans="1:14" x14ac:dyDescent="0.2">
      <c r="A228" s="2">
        <v>41091</v>
      </c>
      <c r="B228">
        <v>0.53785369999999999</v>
      </c>
      <c r="F228" s="2">
        <v>41091</v>
      </c>
      <c r="G228">
        <v>0.62299061673165057</v>
      </c>
      <c r="N228">
        <f t="shared" si="4"/>
        <v>8.513691673165058E-2</v>
      </c>
    </row>
    <row r="229" spans="1:14" x14ac:dyDescent="0.2">
      <c r="A229" s="2">
        <v>41122</v>
      </c>
      <c r="B229">
        <v>0.52625820000000001</v>
      </c>
      <c r="F229" s="2">
        <v>41122</v>
      </c>
      <c r="G229">
        <v>0.59974589123649968</v>
      </c>
      <c r="N229">
        <f t="shared" si="4"/>
        <v>7.3487691236499675E-2</v>
      </c>
    </row>
    <row r="230" spans="1:14" x14ac:dyDescent="0.2">
      <c r="A230" s="2">
        <v>41153</v>
      </c>
      <c r="B230">
        <v>0.50478080000000003</v>
      </c>
      <c r="F230" s="2">
        <v>41153</v>
      </c>
      <c r="G230">
        <v>0.63224558084032234</v>
      </c>
      <c r="N230">
        <f t="shared" si="4"/>
        <v>0.12746478084032231</v>
      </c>
    </row>
    <row r="231" spans="1:14" x14ac:dyDescent="0.2">
      <c r="A231" s="2">
        <v>41183</v>
      </c>
      <c r="B231">
        <v>0.40769939999999999</v>
      </c>
      <c r="F231" s="2">
        <v>41183</v>
      </c>
      <c r="G231">
        <v>0.34965408433822132</v>
      </c>
      <c r="N231">
        <f t="shared" si="4"/>
        <v>-5.8045315661778674E-2</v>
      </c>
    </row>
    <row r="232" spans="1:14" x14ac:dyDescent="0.2">
      <c r="A232" s="2">
        <v>41214</v>
      </c>
      <c r="B232">
        <v>0.41830919999999999</v>
      </c>
      <c r="F232" s="2">
        <v>41214</v>
      </c>
      <c r="G232">
        <v>0.39262814665607643</v>
      </c>
      <c r="N232">
        <f t="shared" si="4"/>
        <v>-2.5681053343923566E-2</v>
      </c>
    </row>
    <row r="233" spans="1:14" x14ac:dyDescent="0.2">
      <c r="A233" s="2">
        <v>41244</v>
      </c>
      <c r="B233">
        <v>0.47379500000000002</v>
      </c>
      <c r="F233" s="2">
        <v>41244</v>
      </c>
      <c r="G233">
        <v>0.4303539106821142</v>
      </c>
      <c r="N233">
        <f t="shared" si="4"/>
        <v>-4.3441089317885817E-2</v>
      </c>
    </row>
    <row r="234" spans="1:14" x14ac:dyDescent="0.2">
      <c r="A234" s="2">
        <v>41275</v>
      </c>
      <c r="B234">
        <v>0.51401450000000004</v>
      </c>
      <c r="F234" s="2">
        <v>41275</v>
      </c>
      <c r="G234">
        <v>0.57051656624107938</v>
      </c>
      <c r="N234">
        <f t="shared" si="4"/>
        <v>5.6502066241079341E-2</v>
      </c>
    </row>
    <row r="235" spans="1:14" x14ac:dyDescent="0.2">
      <c r="A235" s="2">
        <v>41306</v>
      </c>
      <c r="B235">
        <v>0.76471750000000005</v>
      </c>
      <c r="F235" s="2">
        <v>41306</v>
      </c>
      <c r="G235">
        <v>0.56989794348644696</v>
      </c>
      <c r="N235">
        <f t="shared" si="4"/>
        <v>-0.19481955651355309</v>
      </c>
    </row>
    <row r="236" spans="1:14" x14ac:dyDescent="0.2">
      <c r="A236" s="2">
        <v>41334</v>
      </c>
      <c r="B236">
        <v>0.51246150000000001</v>
      </c>
      <c r="F236" s="2">
        <v>41334</v>
      </c>
      <c r="G236">
        <v>0.58353017798401019</v>
      </c>
      <c r="N236">
        <f t="shared" si="4"/>
        <v>7.1068677984010176E-2</v>
      </c>
    </row>
    <row r="237" spans="1:14" x14ac:dyDescent="0.2">
      <c r="A237" s="2">
        <v>41365</v>
      </c>
      <c r="B237">
        <v>0.47009230000000002</v>
      </c>
      <c r="F237" s="2">
        <v>41365</v>
      </c>
      <c r="G237">
        <v>0.46044495112064587</v>
      </c>
      <c r="N237">
        <f t="shared" si="4"/>
        <v>-9.6473488793541451E-3</v>
      </c>
    </row>
    <row r="238" spans="1:14" x14ac:dyDescent="0.2">
      <c r="A238" s="2">
        <v>41395</v>
      </c>
      <c r="B238">
        <v>0.42240939999999999</v>
      </c>
      <c r="F238" s="2">
        <v>41395</v>
      </c>
      <c r="G238">
        <v>0.45125951358761052</v>
      </c>
      <c r="N238">
        <f t="shared" si="4"/>
        <v>2.8850113587610526E-2</v>
      </c>
    </row>
    <row r="239" spans="1:14" x14ac:dyDescent="0.2">
      <c r="A239" s="2">
        <v>41426</v>
      </c>
      <c r="B239">
        <v>0.55287889999999995</v>
      </c>
      <c r="F239" s="2">
        <v>41426</v>
      </c>
      <c r="G239">
        <v>0.57814013725191304</v>
      </c>
      <c r="N239">
        <f t="shared" si="4"/>
        <v>2.5261237251913093E-2</v>
      </c>
    </row>
    <row r="240" spans="1:14" x14ac:dyDescent="0.2">
      <c r="A240" s="2">
        <v>41456</v>
      </c>
      <c r="B240">
        <v>0.51464650000000001</v>
      </c>
      <c r="F240" s="2">
        <v>41456</v>
      </c>
      <c r="G240">
        <v>0.44113339735183021</v>
      </c>
      <c r="N240">
        <f t="shared" si="4"/>
        <v>-7.3513102648169792E-2</v>
      </c>
    </row>
    <row r="241" spans="1:14" x14ac:dyDescent="0.2">
      <c r="A241" s="2">
        <v>41487</v>
      </c>
      <c r="B241">
        <v>0.34975719999999999</v>
      </c>
      <c r="F241" s="2">
        <v>41487</v>
      </c>
      <c r="G241">
        <v>0.37648952633009058</v>
      </c>
      <c r="N241">
        <f t="shared" si="4"/>
        <v>2.6732326330090594E-2</v>
      </c>
    </row>
    <row r="242" spans="1:14" x14ac:dyDescent="0.2">
      <c r="A242" s="2">
        <v>41518</v>
      </c>
      <c r="B242">
        <v>0.41311680000000001</v>
      </c>
      <c r="F242" s="2">
        <v>41518</v>
      </c>
      <c r="G242">
        <v>0.4234216605805815</v>
      </c>
      <c r="N242">
        <f t="shared" si="4"/>
        <v>1.0304860580581499E-2</v>
      </c>
    </row>
    <row r="243" spans="1:14" x14ac:dyDescent="0.2">
      <c r="A243" s="2">
        <v>41548</v>
      </c>
      <c r="B243">
        <v>0.37375930000000002</v>
      </c>
      <c r="F243" s="2">
        <v>41548</v>
      </c>
      <c r="G243">
        <v>0.43697847353972702</v>
      </c>
      <c r="N243">
        <f t="shared" si="4"/>
        <v>6.3219173539727003E-2</v>
      </c>
    </row>
    <row r="244" spans="1:14" x14ac:dyDescent="0.2">
      <c r="A244" s="2">
        <v>41579</v>
      </c>
      <c r="B244">
        <v>0.41881279999999999</v>
      </c>
      <c r="F244" s="2">
        <v>41579</v>
      </c>
      <c r="G244">
        <v>0.43269455573889781</v>
      </c>
      <c r="N244">
        <f t="shared" si="4"/>
        <v>1.3881755738897827E-2</v>
      </c>
    </row>
    <row r="245" spans="1:14" x14ac:dyDescent="0.2">
      <c r="A245" s="2">
        <v>41609</v>
      </c>
      <c r="B245">
        <v>0.33248420000000001</v>
      </c>
      <c r="F245" s="2">
        <v>41609</v>
      </c>
      <c r="G245">
        <v>0.29416105065990439</v>
      </c>
      <c r="N245">
        <f t="shared" si="4"/>
        <v>-3.8323149340095619E-2</v>
      </c>
    </row>
    <row r="246" spans="1:14" x14ac:dyDescent="0.2">
      <c r="A246" s="2">
        <v>41640</v>
      </c>
      <c r="B246">
        <v>0.33168730000000002</v>
      </c>
      <c r="F246" s="2">
        <v>41640</v>
      </c>
      <c r="G246">
        <v>0.32227529376168451</v>
      </c>
      <c r="N246">
        <f t="shared" si="4"/>
        <v>-9.4120062383155068E-3</v>
      </c>
    </row>
    <row r="247" spans="1:14" x14ac:dyDescent="0.2">
      <c r="A247" s="2">
        <v>41671</v>
      </c>
      <c r="B247">
        <v>0.43585659999999998</v>
      </c>
      <c r="F247" s="2">
        <v>41671</v>
      </c>
      <c r="G247">
        <v>0.40530122341103247</v>
      </c>
      <c r="N247">
        <f t="shared" si="4"/>
        <v>-3.0555376588967509E-2</v>
      </c>
    </row>
    <row r="248" spans="1:14" x14ac:dyDescent="0.2">
      <c r="A248" s="2">
        <v>41699</v>
      </c>
      <c r="B248">
        <v>0.41033629999999999</v>
      </c>
      <c r="F248" s="2">
        <v>41699</v>
      </c>
      <c r="G248">
        <v>0.37951366962141247</v>
      </c>
      <c r="N248">
        <f t="shared" si="4"/>
        <v>-3.0822630378587512E-2</v>
      </c>
    </row>
    <row r="249" spans="1:14" x14ac:dyDescent="0.2">
      <c r="A249" s="2">
        <v>41730</v>
      </c>
      <c r="B249">
        <v>0.24144180000000001</v>
      </c>
      <c r="F249" s="2">
        <v>41730</v>
      </c>
      <c r="G249">
        <v>0.25984984919392029</v>
      </c>
      <c r="N249">
        <f t="shared" si="4"/>
        <v>1.8408049193920278E-2</v>
      </c>
    </row>
    <row r="250" spans="1:14" x14ac:dyDescent="0.2">
      <c r="A250" s="2">
        <v>41760</v>
      </c>
      <c r="B250">
        <v>0.33689279999999999</v>
      </c>
      <c r="F250" s="2">
        <v>41760</v>
      </c>
      <c r="G250">
        <v>0.27754488119459397</v>
      </c>
      <c r="N250">
        <f t="shared" ref="N250:N268" si="5">G250-B250</f>
        <v>-5.9347918805406019E-2</v>
      </c>
    </row>
    <row r="251" spans="1:14" x14ac:dyDescent="0.2">
      <c r="A251" s="2">
        <v>41791</v>
      </c>
      <c r="B251">
        <v>0.26927869999999998</v>
      </c>
      <c r="F251" s="2">
        <v>41791</v>
      </c>
      <c r="G251">
        <v>0.28363356786518562</v>
      </c>
      <c r="N251">
        <f t="shared" si="5"/>
        <v>1.4354867865185639E-2</v>
      </c>
    </row>
    <row r="252" spans="1:14" x14ac:dyDescent="0.2">
      <c r="A252" s="2">
        <v>41821</v>
      </c>
      <c r="B252">
        <v>0.1857058</v>
      </c>
      <c r="F252" s="2">
        <v>41821</v>
      </c>
      <c r="G252">
        <v>0.19055380872421929</v>
      </c>
      <c r="N252">
        <f t="shared" si="5"/>
        <v>4.8480087242192826E-3</v>
      </c>
    </row>
    <row r="253" spans="1:14" x14ac:dyDescent="0.2">
      <c r="A253" s="2">
        <v>41852</v>
      </c>
      <c r="B253">
        <v>0.21462000000000001</v>
      </c>
      <c r="F253" s="2">
        <v>41852</v>
      </c>
      <c r="G253">
        <v>0.20599000310072679</v>
      </c>
      <c r="N253">
        <f t="shared" si="5"/>
        <v>-8.6299968992732123E-3</v>
      </c>
    </row>
    <row r="254" spans="1:14" x14ac:dyDescent="0.2">
      <c r="A254" s="2">
        <v>41883</v>
      </c>
      <c r="B254">
        <v>0.40772570000000002</v>
      </c>
      <c r="F254" s="2">
        <v>41883</v>
      </c>
      <c r="G254">
        <v>0.38657428087718071</v>
      </c>
      <c r="N254">
        <f t="shared" si="5"/>
        <v>-2.1151419122819315E-2</v>
      </c>
    </row>
    <row r="255" spans="1:14" x14ac:dyDescent="0.2">
      <c r="A255" s="2">
        <v>41913</v>
      </c>
      <c r="B255">
        <v>0.5006948</v>
      </c>
      <c r="F255" s="2">
        <v>41913</v>
      </c>
      <c r="G255">
        <v>0.514214122176328</v>
      </c>
      <c r="N255">
        <f t="shared" si="5"/>
        <v>1.3519322176328008E-2</v>
      </c>
    </row>
    <row r="256" spans="1:14" x14ac:dyDescent="0.2">
      <c r="A256" s="2">
        <v>41944</v>
      </c>
      <c r="B256">
        <v>0.43225259999999999</v>
      </c>
      <c r="F256" s="2">
        <v>41944</v>
      </c>
      <c r="G256">
        <v>0.3896075074183627</v>
      </c>
      <c r="N256">
        <f t="shared" si="5"/>
        <v>-4.2645092581637289E-2</v>
      </c>
    </row>
    <row r="257" spans="1:14" x14ac:dyDescent="0.2">
      <c r="A257" s="2">
        <v>41974</v>
      </c>
      <c r="B257">
        <v>0.51042129999999997</v>
      </c>
      <c r="F257" s="2">
        <v>41974</v>
      </c>
      <c r="G257">
        <v>0.50291303308189872</v>
      </c>
      <c r="N257">
        <f t="shared" si="5"/>
        <v>-7.5082669181012474E-3</v>
      </c>
    </row>
    <row r="258" spans="1:14" x14ac:dyDescent="0.2">
      <c r="A258" s="2">
        <v>42005</v>
      </c>
      <c r="B258">
        <v>0.88806850000000004</v>
      </c>
      <c r="F258" s="2">
        <v>42005</v>
      </c>
      <c r="G258">
        <v>0.57384655343067359</v>
      </c>
      <c r="N258">
        <f t="shared" si="5"/>
        <v>-0.31422194656932645</v>
      </c>
    </row>
    <row r="259" spans="1:14" x14ac:dyDescent="0.2">
      <c r="A259" s="2">
        <v>42036</v>
      </c>
      <c r="B259">
        <v>0.5105324</v>
      </c>
      <c r="F259" s="2">
        <v>42036</v>
      </c>
      <c r="G259">
        <v>0.56891360281237746</v>
      </c>
      <c r="N259">
        <f t="shared" si="5"/>
        <v>5.8381202812377464E-2</v>
      </c>
    </row>
    <row r="260" spans="1:14" x14ac:dyDescent="0.2">
      <c r="A260" s="2">
        <v>42064</v>
      </c>
      <c r="B260">
        <v>0.7295703</v>
      </c>
      <c r="F260" s="2">
        <v>42064</v>
      </c>
      <c r="G260">
        <v>0.73369019497140275</v>
      </c>
      <c r="N260">
        <f t="shared" si="5"/>
        <v>4.1198949714027489E-3</v>
      </c>
    </row>
    <row r="261" spans="1:14" x14ac:dyDescent="0.2">
      <c r="A261" s="2">
        <v>42095</v>
      </c>
      <c r="B261">
        <v>0.78853130000000005</v>
      </c>
      <c r="F261" s="2">
        <v>42095</v>
      </c>
      <c r="G261">
        <v>0.7264552719386882</v>
      </c>
      <c r="N261">
        <f t="shared" si="5"/>
        <v>-6.207602806131185E-2</v>
      </c>
    </row>
    <row r="262" spans="1:14" x14ac:dyDescent="0.2">
      <c r="A262" s="2">
        <v>42125</v>
      </c>
      <c r="B262">
        <v>0.91319280000000003</v>
      </c>
      <c r="F262" s="2">
        <v>42125</v>
      </c>
      <c r="G262">
        <v>0.87109140976016786</v>
      </c>
      <c r="N262">
        <f t="shared" si="5"/>
        <v>-4.210139023983217E-2</v>
      </c>
    </row>
    <row r="263" spans="1:14" x14ac:dyDescent="0.2">
      <c r="A263" s="2">
        <v>42156</v>
      </c>
      <c r="B263">
        <v>0.7353866</v>
      </c>
      <c r="F263" s="2">
        <v>42156</v>
      </c>
      <c r="G263">
        <v>0.745000748935573</v>
      </c>
      <c r="N263">
        <f t="shared" si="5"/>
        <v>9.614148935572997E-3</v>
      </c>
    </row>
    <row r="264" spans="1:14" x14ac:dyDescent="0.2">
      <c r="A264" s="2">
        <v>42186</v>
      </c>
      <c r="B264">
        <v>0.72001289999999996</v>
      </c>
      <c r="F264" s="2">
        <v>42186</v>
      </c>
      <c r="G264">
        <v>0.76698738081969908</v>
      </c>
      <c r="N264">
        <f t="shared" si="5"/>
        <v>4.6974480819699127E-2</v>
      </c>
    </row>
    <row r="265" spans="1:14" x14ac:dyDescent="0.2">
      <c r="A265" s="2">
        <v>42217</v>
      </c>
      <c r="B265">
        <v>0.74868630000000003</v>
      </c>
      <c r="F265" s="2">
        <v>42217</v>
      </c>
      <c r="G265">
        <v>0.89891049985908777</v>
      </c>
      <c r="N265">
        <f t="shared" si="5"/>
        <v>0.15022419985908775</v>
      </c>
    </row>
    <row r="266" spans="1:14" x14ac:dyDescent="0.2">
      <c r="A266" s="2">
        <v>42248</v>
      </c>
      <c r="B266">
        <v>0.62490970000000001</v>
      </c>
      <c r="F266" s="2">
        <v>42248</v>
      </c>
      <c r="G266">
        <v>0.66888824237242939</v>
      </c>
      <c r="N266">
        <f t="shared" si="5"/>
        <v>4.3978542372429374E-2</v>
      </c>
    </row>
    <row r="267" spans="1:14" x14ac:dyDescent="0.2">
      <c r="A267" s="2">
        <v>42278</v>
      </c>
      <c r="B267">
        <v>0.67207799999999995</v>
      </c>
      <c r="F267" s="2">
        <v>42278</v>
      </c>
      <c r="G267">
        <v>0.77289259239254593</v>
      </c>
      <c r="N267">
        <f t="shared" si="5"/>
        <v>0.10081459239254598</v>
      </c>
    </row>
    <row r="268" spans="1:14" x14ac:dyDescent="0.2">
      <c r="A268" s="2">
        <v>42309</v>
      </c>
      <c r="B268">
        <v>0.34161219999999998</v>
      </c>
      <c r="F268" s="2">
        <v>42309</v>
      </c>
      <c r="G268">
        <v>0.35393299692976088</v>
      </c>
      <c r="N268">
        <f t="shared" si="5"/>
        <v>1.2320796929760902E-2</v>
      </c>
    </row>
    <row r="269" spans="1:14" x14ac:dyDescent="0.2">
      <c r="A269" s="2">
        <v>42339</v>
      </c>
      <c r="B269">
        <v>0.61369569999999996</v>
      </c>
      <c r="F269" s="2">
        <v>42339</v>
      </c>
      <c r="G269">
        <v>0.82530227815608381</v>
      </c>
      <c r="N269">
        <f>G269-B269</f>
        <v>0.21160657815608386</v>
      </c>
    </row>
    <row r="270" spans="1:14" x14ac:dyDescent="0.2">
      <c r="A270" s="2">
        <v>42370</v>
      </c>
      <c r="B270">
        <v>0.51590320000000001</v>
      </c>
      <c r="F270" s="2">
        <v>42370</v>
      </c>
      <c r="G270">
        <v>0.56529352945027433</v>
      </c>
      <c r="N270">
        <f t="shared" ref="N270:N322" si="6">G270-B270</f>
        <v>4.9390329450274328E-2</v>
      </c>
    </row>
    <row r="271" spans="1:14" x14ac:dyDescent="0.2">
      <c r="A271" s="2">
        <v>42401</v>
      </c>
      <c r="B271">
        <v>0.79232729999999996</v>
      </c>
      <c r="F271" s="2">
        <v>42401</v>
      </c>
      <c r="G271">
        <v>0.85329454618340972</v>
      </c>
      <c r="N271">
        <f t="shared" si="6"/>
        <v>6.0967246183409762E-2</v>
      </c>
    </row>
    <row r="272" spans="1:14" x14ac:dyDescent="0.2">
      <c r="A272" s="2">
        <v>42430</v>
      </c>
      <c r="B272">
        <v>0.78225909999999999</v>
      </c>
      <c r="F272" s="2">
        <v>42430</v>
      </c>
      <c r="G272">
        <v>0.68844625395584891</v>
      </c>
      <c r="N272">
        <f t="shared" si="6"/>
        <v>-9.3812846044151077E-2</v>
      </c>
    </row>
    <row r="273" spans="1:14" x14ac:dyDescent="0.2">
      <c r="A273" s="2">
        <v>42461</v>
      </c>
      <c r="B273">
        <v>0.37604520000000002</v>
      </c>
      <c r="F273" s="2">
        <v>42461</v>
      </c>
      <c r="G273">
        <v>0.37432746880289242</v>
      </c>
      <c r="N273">
        <f t="shared" si="6"/>
        <v>-1.7177311971076081E-3</v>
      </c>
    </row>
    <row r="274" spans="1:14" x14ac:dyDescent="0.2">
      <c r="A274" s="2">
        <v>42491</v>
      </c>
      <c r="B274">
        <v>0.39546140000000002</v>
      </c>
      <c r="F274" s="2">
        <v>42491</v>
      </c>
      <c r="G274">
        <v>0.44216680496826333</v>
      </c>
      <c r="N274">
        <f t="shared" si="6"/>
        <v>4.6705404968263309E-2</v>
      </c>
    </row>
    <row r="275" spans="1:14" x14ac:dyDescent="0.2">
      <c r="A275" s="2">
        <v>42522</v>
      </c>
      <c r="B275">
        <v>0.83987820000000002</v>
      </c>
      <c r="F275" s="2">
        <v>42522</v>
      </c>
      <c r="G275">
        <v>0.79527410018825562</v>
      </c>
      <c r="N275">
        <f t="shared" si="6"/>
        <v>-4.4604099811744402E-2</v>
      </c>
    </row>
    <row r="276" spans="1:14" x14ac:dyDescent="0.2">
      <c r="A276" s="2">
        <v>42552</v>
      </c>
      <c r="B276">
        <v>0.38346439999999998</v>
      </c>
      <c r="F276" s="2">
        <v>42552</v>
      </c>
      <c r="G276">
        <v>0.36497833973091542</v>
      </c>
      <c r="N276">
        <f t="shared" si="6"/>
        <v>-1.8486060269084559E-2</v>
      </c>
    </row>
    <row r="277" spans="1:14" x14ac:dyDescent="0.2">
      <c r="A277" s="2">
        <v>42583</v>
      </c>
      <c r="B277">
        <v>0.4996025</v>
      </c>
      <c r="F277" s="2">
        <v>42583</v>
      </c>
      <c r="G277">
        <v>0.42264299105307751</v>
      </c>
      <c r="N277">
        <f t="shared" si="6"/>
        <v>-7.6959508946922495E-2</v>
      </c>
    </row>
    <row r="278" spans="1:14" x14ac:dyDescent="0.2">
      <c r="A278" s="2">
        <v>42614</v>
      </c>
      <c r="B278">
        <v>0.39172099999999999</v>
      </c>
      <c r="F278" s="2">
        <v>42614</v>
      </c>
      <c r="G278">
        <v>0.39987079162249428</v>
      </c>
      <c r="N278">
        <f t="shared" si="6"/>
        <v>8.1497916224942957E-3</v>
      </c>
    </row>
    <row r="279" spans="1:14" x14ac:dyDescent="0.2">
      <c r="A279" s="2">
        <v>42644</v>
      </c>
      <c r="B279">
        <v>0.39844619999999997</v>
      </c>
      <c r="F279" s="2">
        <v>42644</v>
      </c>
      <c r="G279">
        <v>0.35497126340306562</v>
      </c>
      <c r="N279">
        <f t="shared" si="6"/>
        <v>-4.3474936596934355E-2</v>
      </c>
    </row>
    <row r="280" spans="1:14" x14ac:dyDescent="0.2">
      <c r="A280" s="2">
        <v>42675</v>
      </c>
      <c r="B280">
        <v>0.50602340000000001</v>
      </c>
      <c r="F280" s="2">
        <v>42675</v>
      </c>
      <c r="G280">
        <v>0.52091242227561274</v>
      </c>
      <c r="N280">
        <f t="shared" si="6"/>
        <v>1.4889022275612729E-2</v>
      </c>
    </row>
    <row r="281" spans="1:14" x14ac:dyDescent="0.2">
      <c r="A281" s="2">
        <v>42705</v>
      </c>
      <c r="B281">
        <v>0.71624730000000003</v>
      </c>
      <c r="F281" s="2">
        <v>42705</v>
      </c>
      <c r="G281">
        <v>0.701039957660193</v>
      </c>
      <c r="N281">
        <f t="shared" si="6"/>
        <v>-1.5207342339807028E-2</v>
      </c>
    </row>
    <row r="282" spans="1:14" x14ac:dyDescent="0.2">
      <c r="A282" s="2">
        <v>42736</v>
      </c>
      <c r="B282">
        <v>0.64435089999999995</v>
      </c>
      <c r="F282" s="2">
        <v>42736</v>
      </c>
      <c r="G282">
        <v>0.73156383602660824</v>
      </c>
      <c r="N282">
        <f t="shared" si="6"/>
        <v>8.721293602660829E-2</v>
      </c>
    </row>
    <row r="283" spans="1:14" x14ac:dyDescent="0.2">
      <c r="A283" s="2">
        <v>42767</v>
      </c>
      <c r="B283">
        <v>0.42565740000000002</v>
      </c>
      <c r="F283" s="2">
        <v>42767</v>
      </c>
      <c r="G283">
        <v>0.42457122665558189</v>
      </c>
      <c r="N283">
        <f t="shared" si="6"/>
        <v>-1.0861733444181287E-3</v>
      </c>
    </row>
    <row r="284" spans="1:14" x14ac:dyDescent="0.2">
      <c r="A284" s="2">
        <v>42795</v>
      </c>
      <c r="B284">
        <v>0.4500112</v>
      </c>
      <c r="F284" s="2">
        <v>42795</v>
      </c>
      <c r="G284">
        <v>0.46562140024205878</v>
      </c>
      <c r="N284">
        <f t="shared" si="6"/>
        <v>1.561020024205878E-2</v>
      </c>
    </row>
    <row r="285" spans="1:14" x14ac:dyDescent="0.2">
      <c r="A285" s="2">
        <v>42826</v>
      </c>
      <c r="B285">
        <v>0.42336170000000001</v>
      </c>
      <c r="F285" s="2">
        <v>42826</v>
      </c>
      <c r="G285">
        <v>0.4222887252182691</v>
      </c>
      <c r="N285">
        <f t="shared" si="6"/>
        <v>-1.0729747817309065E-3</v>
      </c>
    </row>
    <row r="286" spans="1:14" x14ac:dyDescent="0.2">
      <c r="A286" s="2">
        <v>42856</v>
      </c>
      <c r="B286">
        <v>0.35150969999999998</v>
      </c>
      <c r="F286" s="2">
        <v>42856</v>
      </c>
      <c r="G286">
        <v>0.38764888469069197</v>
      </c>
      <c r="N286">
        <f t="shared" si="6"/>
        <v>3.6139184690691994E-2</v>
      </c>
    </row>
    <row r="287" spans="1:14" x14ac:dyDescent="0.2">
      <c r="A287" s="2">
        <v>42887</v>
      </c>
      <c r="B287">
        <v>0.3418215</v>
      </c>
      <c r="F287" s="2">
        <v>42887</v>
      </c>
      <c r="G287">
        <v>0.32744102492969951</v>
      </c>
      <c r="N287">
        <f t="shared" si="6"/>
        <v>-1.4380475070300491E-2</v>
      </c>
    </row>
    <row r="288" spans="1:14" x14ac:dyDescent="0.2">
      <c r="A288" s="2">
        <v>42917</v>
      </c>
      <c r="B288">
        <v>0.45980510000000002</v>
      </c>
      <c r="F288" s="2">
        <v>42917</v>
      </c>
      <c r="G288">
        <v>0.49649030472292832</v>
      </c>
      <c r="N288">
        <f t="shared" si="6"/>
        <v>3.66852047229283E-2</v>
      </c>
    </row>
    <row r="289" spans="1:14" x14ac:dyDescent="0.2">
      <c r="A289" s="2">
        <v>42948</v>
      </c>
      <c r="B289">
        <v>0.510486</v>
      </c>
      <c r="F289" s="2">
        <v>42948</v>
      </c>
      <c r="G289">
        <v>0.44915704860738859</v>
      </c>
      <c r="N289">
        <f t="shared" si="6"/>
        <v>-6.1328951392611408E-2</v>
      </c>
    </row>
    <row r="290" spans="1:14" x14ac:dyDescent="0.2">
      <c r="A290" s="2">
        <v>42979</v>
      </c>
      <c r="B290">
        <v>0.53311059999999999</v>
      </c>
      <c r="F290" s="2">
        <v>42979</v>
      </c>
      <c r="G290">
        <v>0.49878085732431121</v>
      </c>
      <c r="N290">
        <f t="shared" si="6"/>
        <v>-3.4329742675688779E-2</v>
      </c>
    </row>
    <row r="291" spans="1:14" x14ac:dyDescent="0.2">
      <c r="A291" s="2">
        <v>43009</v>
      </c>
      <c r="B291">
        <v>0.43738290000000002</v>
      </c>
      <c r="F291" s="2">
        <v>43009</v>
      </c>
      <c r="G291">
        <v>0.45538009869034302</v>
      </c>
      <c r="N291">
        <f t="shared" si="6"/>
        <v>1.7997198690342997E-2</v>
      </c>
    </row>
    <row r="292" spans="1:14" x14ac:dyDescent="0.2">
      <c r="A292" s="2">
        <v>43040</v>
      </c>
      <c r="B292">
        <v>0.45429789999999998</v>
      </c>
      <c r="F292" s="2">
        <v>43040</v>
      </c>
      <c r="G292">
        <v>0.40663956635119047</v>
      </c>
      <c r="N292">
        <f t="shared" si="6"/>
        <v>-4.7658333648809503E-2</v>
      </c>
    </row>
    <row r="293" spans="1:14" x14ac:dyDescent="0.2">
      <c r="A293" s="2">
        <v>43070</v>
      </c>
      <c r="B293">
        <v>0.33489010000000002</v>
      </c>
      <c r="F293" s="2">
        <v>43070</v>
      </c>
      <c r="G293">
        <v>0.34452238828916681</v>
      </c>
      <c r="N293">
        <f t="shared" si="6"/>
        <v>9.6322882891667905E-3</v>
      </c>
    </row>
    <row r="294" spans="1:14" x14ac:dyDescent="0.2">
      <c r="A294" s="2">
        <v>43101</v>
      </c>
      <c r="B294">
        <v>0.47327802230644728</v>
      </c>
      <c r="F294" s="2">
        <v>43101</v>
      </c>
      <c r="G294">
        <v>0.46626040209103931</v>
      </c>
      <c r="N294">
        <f t="shared" si="6"/>
        <v>-7.0176202154079714E-3</v>
      </c>
    </row>
    <row r="295" spans="1:14" x14ac:dyDescent="0.2">
      <c r="A295" s="2">
        <v>43132</v>
      </c>
      <c r="B295">
        <v>0.50634622640508531</v>
      </c>
      <c r="F295" s="2">
        <v>43132</v>
      </c>
      <c r="G295">
        <v>0.36247906301379201</v>
      </c>
      <c r="N295">
        <f t="shared" si="6"/>
        <v>-0.1438671633912933</v>
      </c>
    </row>
    <row r="296" spans="1:14" x14ac:dyDescent="0.2">
      <c r="A296" s="2">
        <v>43160</v>
      </c>
      <c r="B296">
        <v>0.47575795959274109</v>
      </c>
      <c r="F296" s="2">
        <v>43160</v>
      </c>
      <c r="G296">
        <v>0.4834750471033516</v>
      </c>
      <c r="N296">
        <f t="shared" si="6"/>
        <v>7.7170875106105097E-3</v>
      </c>
    </row>
    <row r="297" spans="1:14" x14ac:dyDescent="0.2">
      <c r="A297" s="2">
        <v>43191</v>
      </c>
      <c r="B297">
        <v>0.35935147601220568</v>
      </c>
      <c r="F297" s="2">
        <v>43191</v>
      </c>
      <c r="G297">
        <v>0.35046124890214331</v>
      </c>
      <c r="N297">
        <f t="shared" si="6"/>
        <v>-8.8902271100623764E-3</v>
      </c>
    </row>
    <row r="298" spans="1:14" x14ac:dyDescent="0.2">
      <c r="A298" s="2">
        <v>43221</v>
      </c>
      <c r="B298">
        <v>0.47637307531014711</v>
      </c>
      <c r="F298" s="2">
        <v>43221</v>
      </c>
      <c r="G298">
        <v>0.42726099729018902</v>
      </c>
      <c r="N298">
        <f t="shared" si="6"/>
        <v>-4.9112078019958094E-2</v>
      </c>
    </row>
    <row r="299" spans="1:14" x14ac:dyDescent="0.2">
      <c r="A299" s="2">
        <v>43252</v>
      </c>
      <c r="B299">
        <v>0.56090664356965603</v>
      </c>
      <c r="F299" s="2">
        <v>43252</v>
      </c>
      <c r="G299">
        <v>0.49941341802482159</v>
      </c>
      <c r="N299">
        <f t="shared" si="6"/>
        <v>-6.149322554483444E-2</v>
      </c>
    </row>
    <row r="300" spans="1:14" x14ac:dyDescent="0.2">
      <c r="A300" s="2">
        <v>43282</v>
      </c>
      <c r="B300">
        <v>0.46836061808805257</v>
      </c>
      <c r="F300" s="2">
        <v>43282</v>
      </c>
      <c r="G300">
        <v>0.46422671043772079</v>
      </c>
      <c r="N300">
        <f t="shared" si="6"/>
        <v>-4.1339076503317806E-3</v>
      </c>
    </row>
    <row r="301" spans="1:14" x14ac:dyDescent="0.2">
      <c r="A301" s="2">
        <v>43313</v>
      </c>
      <c r="B301">
        <v>0.49688790340495781</v>
      </c>
      <c r="F301" s="2">
        <v>43313</v>
      </c>
      <c r="G301">
        <v>0.46282330546186301</v>
      </c>
      <c r="N301">
        <f t="shared" si="6"/>
        <v>-3.4064597943094799E-2</v>
      </c>
    </row>
    <row r="302" spans="1:14" x14ac:dyDescent="0.2">
      <c r="A302" s="2">
        <v>43344</v>
      </c>
      <c r="B302">
        <v>0.42914047059360888</v>
      </c>
      <c r="F302" s="2">
        <v>43344</v>
      </c>
      <c r="G302">
        <v>0.44646841651295233</v>
      </c>
      <c r="N302">
        <f t="shared" si="6"/>
        <v>1.7327945919343446E-2</v>
      </c>
    </row>
    <row r="303" spans="1:14" x14ac:dyDescent="0.2">
      <c r="A303" s="2">
        <v>43374</v>
      </c>
      <c r="B303">
        <v>0.3747995308013749</v>
      </c>
      <c r="F303" s="2">
        <v>43374</v>
      </c>
      <c r="G303">
        <v>0.34178673723041031</v>
      </c>
      <c r="N303">
        <f t="shared" si="6"/>
        <v>-3.3012793570964594E-2</v>
      </c>
    </row>
    <row r="304" spans="1:14" x14ac:dyDescent="0.2">
      <c r="A304" s="2">
        <v>43405</v>
      </c>
      <c r="B304">
        <v>0.46540848144595798</v>
      </c>
      <c r="F304" s="2">
        <v>43405</v>
      </c>
      <c r="G304">
        <v>0.45979753483237101</v>
      </c>
      <c r="N304">
        <f t="shared" si="6"/>
        <v>-5.6109466135869646E-3</v>
      </c>
    </row>
    <row r="305" spans="1:14" x14ac:dyDescent="0.2">
      <c r="A305" s="3">
        <v>43435</v>
      </c>
      <c r="B305">
        <v>0.39212775950571477</v>
      </c>
      <c r="F305" s="2">
        <v>43435</v>
      </c>
      <c r="G305">
        <v>0.35714980014128589</v>
      </c>
      <c r="N305">
        <f t="shared" si="6"/>
        <v>-3.4977959364428879E-2</v>
      </c>
    </row>
    <row r="306" spans="1:14" x14ac:dyDescent="0.2">
      <c r="A306" s="2">
        <v>43466</v>
      </c>
      <c r="B306">
        <v>0.35274618177297379</v>
      </c>
      <c r="F306" s="2">
        <v>43466</v>
      </c>
      <c r="G306">
        <v>0.35935737309849902</v>
      </c>
      <c r="N306">
        <f t="shared" si="6"/>
        <v>6.6111913255252341E-3</v>
      </c>
    </row>
    <row r="307" spans="1:14" x14ac:dyDescent="0.2">
      <c r="A307" s="2">
        <v>43497</v>
      </c>
      <c r="B307">
        <v>0.27896245431573591</v>
      </c>
      <c r="F307" s="2">
        <v>43497</v>
      </c>
      <c r="G307">
        <v>0.27756572552686171</v>
      </c>
      <c r="N307">
        <f t="shared" si="6"/>
        <v>-1.3967287888742019E-3</v>
      </c>
    </row>
    <row r="308" spans="1:14" x14ac:dyDescent="0.2">
      <c r="A308" s="2">
        <v>43525</v>
      </c>
      <c r="B308">
        <v>0.29962474648887422</v>
      </c>
      <c r="F308" s="2">
        <v>43525</v>
      </c>
      <c r="G308">
        <v>0.29437174341672567</v>
      </c>
      <c r="N308">
        <f t="shared" si="6"/>
        <v>-5.2530030721485432E-3</v>
      </c>
    </row>
    <row r="309" spans="1:14" x14ac:dyDescent="0.2">
      <c r="A309" s="2">
        <v>43556</v>
      </c>
      <c r="B309">
        <v>0.33143890549205979</v>
      </c>
      <c r="F309" s="2">
        <v>43556</v>
      </c>
      <c r="G309">
        <v>0.34984238473490148</v>
      </c>
      <c r="N309">
        <f t="shared" si="6"/>
        <v>1.8403479242841692E-2</v>
      </c>
    </row>
    <row r="310" spans="1:14" x14ac:dyDescent="0.2">
      <c r="A310" s="3">
        <v>43586</v>
      </c>
      <c r="B310" s="4">
        <v>0.24471993094618538</v>
      </c>
      <c r="C310" s="4"/>
      <c r="D310" s="4"/>
      <c r="E310" s="4"/>
      <c r="F310" s="3">
        <v>43586</v>
      </c>
      <c r="G310" s="4">
        <v>0.24145473544978099</v>
      </c>
      <c r="H310" s="4"/>
      <c r="N310">
        <f t="shared" si="6"/>
        <v>-3.2651954964043883E-3</v>
      </c>
    </row>
    <row r="311" spans="1:14" x14ac:dyDescent="0.2">
      <c r="A311" s="3">
        <v>43617</v>
      </c>
      <c r="B311" s="4">
        <v>0.34460618609704552</v>
      </c>
      <c r="C311" s="4"/>
      <c r="D311" s="4"/>
      <c r="E311" s="4"/>
      <c r="F311" s="3">
        <v>43617</v>
      </c>
      <c r="G311" s="4">
        <v>0.34946819149224528</v>
      </c>
      <c r="H311" s="4"/>
      <c r="N311">
        <f t="shared" si="6"/>
        <v>4.8620053951997644E-3</v>
      </c>
    </row>
    <row r="312" spans="1:14" x14ac:dyDescent="0.2">
      <c r="A312" s="3">
        <v>43647</v>
      </c>
      <c r="B312" s="4">
        <v>0.25262708156932495</v>
      </c>
      <c r="C312" s="4"/>
      <c r="D312" s="4"/>
      <c r="E312" s="4"/>
      <c r="F312" s="3">
        <v>43647</v>
      </c>
      <c r="G312" s="4">
        <v>0.2207957223979225</v>
      </c>
      <c r="H312" s="4"/>
      <c r="N312">
        <f t="shared" si="6"/>
        <v>-3.1831359171402451E-2</v>
      </c>
    </row>
    <row r="313" spans="1:14" x14ac:dyDescent="0.2">
      <c r="A313" s="3">
        <v>43678</v>
      </c>
      <c r="B313" s="4">
        <v>0.41915333069274791</v>
      </c>
      <c r="C313" s="4"/>
      <c r="D313" s="4"/>
      <c r="E313" s="4"/>
      <c r="F313" s="3">
        <v>43678</v>
      </c>
      <c r="G313" s="4">
        <v>0.31690541638156899</v>
      </c>
      <c r="H313" s="4"/>
      <c r="N313">
        <f t="shared" si="6"/>
        <v>-0.10224791431117891</v>
      </c>
    </row>
    <row r="314" spans="1:14" x14ac:dyDescent="0.2">
      <c r="A314" s="3">
        <v>43709</v>
      </c>
      <c r="B314" s="4">
        <v>0.44306296251683513</v>
      </c>
      <c r="C314" s="4"/>
      <c r="D314" s="4"/>
      <c r="E314" s="4"/>
      <c r="F314" s="3">
        <v>43709</v>
      </c>
      <c r="G314" s="4">
        <v>0.30984391835384462</v>
      </c>
      <c r="H314" s="4"/>
      <c r="N314">
        <f t="shared" si="6"/>
        <v>-0.13321904416299052</v>
      </c>
    </row>
    <row r="315" spans="1:14" x14ac:dyDescent="0.2">
      <c r="A315" s="3">
        <v>43739</v>
      </c>
      <c r="B315" s="4">
        <v>0.25484499168962799</v>
      </c>
      <c r="C315" s="4"/>
      <c r="D315" s="4"/>
      <c r="E315" s="4"/>
      <c r="F315" s="3">
        <v>43739</v>
      </c>
      <c r="G315" s="4">
        <v>0.22270489829807219</v>
      </c>
      <c r="H315" s="4"/>
      <c r="N315">
        <f t="shared" si="6"/>
        <v>-3.2140093391555796E-2</v>
      </c>
    </row>
    <row r="316" spans="1:14" x14ac:dyDescent="0.2">
      <c r="A316" s="3">
        <v>43770</v>
      </c>
      <c r="B316" s="4">
        <v>0.2301250087992486</v>
      </c>
      <c r="C316" s="4"/>
      <c r="D316" s="4"/>
      <c r="E316" s="4"/>
      <c r="F316" s="3">
        <v>43770</v>
      </c>
      <c r="G316" s="4">
        <v>0.22985056359361819</v>
      </c>
      <c r="H316" s="4"/>
      <c r="N316">
        <f t="shared" si="6"/>
        <v>-2.7444520563041364E-4</v>
      </c>
    </row>
    <row r="317" spans="1:14" x14ac:dyDescent="0.2">
      <c r="A317" s="3">
        <v>43800</v>
      </c>
      <c r="B317" s="4">
        <v>0.27326824135198569</v>
      </c>
      <c r="C317" s="4"/>
      <c r="D317" s="4"/>
      <c r="E317" s="4"/>
      <c r="F317" s="3">
        <v>43800</v>
      </c>
      <c r="G317" s="4">
        <v>0.25266267866171072</v>
      </c>
      <c r="H317" s="4"/>
      <c r="N317">
        <f t="shared" si="6"/>
        <v>-2.060556269027497E-2</v>
      </c>
    </row>
    <row r="318" spans="1:14" x14ac:dyDescent="0.2">
      <c r="A318" s="3">
        <v>43831</v>
      </c>
      <c r="B318" s="4">
        <v>0.26629529438448807</v>
      </c>
      <c r="C318" s="4"/>
      <c r="D318" s="4"/>
      <c r="E318" s="4"/>
      <c r="F318" s="3">
        <v>43831</v>
      </c>
      <c r="G318" s="4">
        <v>0.27860426688516182</v>
      </c>
      <c r="H318" s="4"/>
      <c r="N318">
        <f t="shared" si="6"/>
        <v>1.2308972500673754E-2</v>
      </c>
    </row>
    <row r="319" spans="1:14" x14ac:dyDescent="0.2">
      <c r="A319" s="3">
        <v>43862</v>
      </c>
      <c r="B319" s="4">
        <v>0.2910260466304232</v>
      </c>
      <c r="C319" s="4"/>
      <c r="D319" s="4"/>
      <c r="E319" s="4"/>
      <c r="F319" s="3">
        <v>43862</v>
      </c>
      <c r="G319" s="4">
        <v>0.33080103571725322</v>
      </c>
      <c r="H319" s="4"/>
      <c r="N319">
        <f t="shared" si="6"/>
        <v>3.9774989086830026E-2</v>
      </c>
    </row>
    <row r="320" spans="1:14" x14ac:dyDescent="0.2">
      <c r="A320" s="3">
        <v>43891</v>
      </c>
      <c r="B320" s="4">
        <v>0.87050498894628536</v>
      </c>
      <c r="C320" s="4"/>
      <c r="D320" s="4"/>
      <c r="E320" s="4"/>
      <c r="F320" s="3">
        <v>43891</v>
      </c>
      <c r="G320" s="4">
        <v>0.8526667701108438</v>
      </c>
      <c r="H320" s="4"/>
      <c r="N320">
        <f t="shared" si="6"/>
        <v>-1.7838218835441566E-2</v>
      </c>
    </row>
    <row r="321" spans="1:14" x14ac:dyDescent="0.2">
      <c r="A321" s="3">
        <v>43922</v>
      </c>
      <c r="B321" s="4">
        <v>0.479282462679128</v>
      </c>
      <c r="C321" s="4"/>
      <c r="D321" s="4"/>
      <c r="E321" s="4"/>
      <c r="F321" s="3">
        <v>43922</v>
      </c>
      <c r="G321" s="4">
        <v>0.46198201006823542</v>
      </c>
      <c r="H321" s="4"/>
      <c r="N321">
        <f t="shared" si="6"/>
        <v>-1.730045261089258E-2</v>
      </c>
    </row>
    <row r="322" spans="1:14" x14ac:dyDescent="0.2">
      <c r="A322" s="3">
        <v>43952</v>
      </c>
      <c r="B322" s="4">
        <v>0.54437732630149949</v>
      </c>
      <c r="C322" s="4"/>
      <c r="D322" s="4"/>
      <c r="E322" s="4"/>
      <c r="F322" s="3">
        <v>43952</v>
      </c>
      <c r="G322" s="4">
        <v>0.56057144087688493</v>
      </c>
      <c r="H322" s="4"/>
      <c r="N322">
        <f t="shared" si="6"/>
        <v>1.6194114575385443E-2</v>
      </c>
    </row>
    <row r="324" spans="1:14" x14ac:dyDescent="0.2">
      <c r="G324">
        <v>0.51133440721547474</v>
      </c>
    </row>
    <row r="325" spans="1:14" x14ac:dyDescent="0.2">
      <c r="G325">
        <v>0.38892806275912511</v>
      </c>
    </row>
    <row r="326" spans="1:14" x14ac:dyDescent="0.2">
      <c r="G326">
        <v>0.46360418228271633</v>
      </c>
    </row>
    <row r="327" spans="1:14" x14ac:dyDescent="0.2">
      <c r="G327">
        <v>0.42804646110002409</v>
      </c>
    </row>
    <row r="328" spans="1:14" x14ac:dyDescent="0.2">
      <c r="G328">
        <v>0.40352739274648031</v>
      </c>
    </row>
    <row r="329" spans="1:14" x14ac:dyDescent="0.2">
      <c r="G329">
        <v>0.38317046911720432</v>
      </c>
    </row>
    <row r="330" spans="1:14" x14ac:dyDescent="0.2">
      <c r="G330">
        <v>0.31846736366514178</v>
      </c>
    </row>
    <row r="331" spans="1:14" x14ac:dyDescent="0.2">
      <c r="G331">
        <v>0.32848443543542538</v>
      </c>
    </row>
    <row r="332" spans="1:14" x14ac:dyDescent="0.2">
      <c r="G332">
        <v>0.41176557720957691</v>
      </c>
    </row>
    <row r="333" spans="1:14" x14ac:dyDescent="0.2">
      <c r="G333">
        <v>0.3665490509419892</v>
      </c>
    </row>
    <row r="334" spans="1:14" x14ac:dyDescent="0.2">
      <c r="G334">
        <v>0.23433286732576711</v>
      </c>
    </row>
    <row r="335" spans="1:14" x14ac:dyDescent="0.2">
      <c r="G335">
        <v>0.3420931695716995</v>
      </c>
    </row>
    <row r="336" spans="1:14" x14ac:dyDescent="0.2">
      <c r="G336">
        <v>0.42581149574967397</v>
      </c>
    </row>
    <row r="337" spans="1:7" x14ac:dyDescent="0.2">
      <c r="G337">
        <v>0.27770719453540832</v>
      </c>
    </row>
    <row r="338" spans="1:7" x14ac:dyDescent="0.2">
      <c r="G338">
        <v>0.28826386973172158</v>
      </c>
    </row>
    <row r="339" spans="1:7" x14ac:dyDescent="0.2">
      <c r="G339">
        <v>0.21993016882350061</v>
      </c>
    </row>
    <row r="340" spans="1:7" x14ac:dyDescent="0.2">
      <c r="G340">
        <v>0.31747532356406011</v>
      </c>
    </row>
    <row r="341" spans="1:7" x14ac:dyDescent="0.2">
      <c r="A341" s="2"/>
      <c r="G341">
        <v>0.38177834990105669</v>
      </c>
    </row>
    <row r="342" spans="1:7" x14ac:dyDescent="0.2">
      <c r="A342" s="2"/>
      <c r="G342">
        <v>0.34776189188895362</v>
      </c>
    </row>
    <row r="343" spans="1:7" ht="16" customHeight="1" x14ac:dyDescent="0.2">
      <c r="A343" s="2"/>
      <c r="G343">
        <v>0.43402810179039708</v>
      </c>
    </row>
    <row r="344" spans="1:7" x14ac:dyDescent="0.2">
      <c r="A344" s="2"/>
      <c r="G344">
        <v>0.64407811403466053</v>
      </c>
    </row>
    <row r="345" spans="1:7" x14ac:dyDescent="0.2">
      <c r="A345" s="2"/>
      <c r="G345">
        <v>0.64000919082687002</v>
      </c>
    </row>
    <row r="346" spans="1:7" x14ac:dyDescent="0.2">
      <c r="A346" s="2"/>
      <c r="G346">
        <v>0.43871339794241732</v>
      </c>
    </row>
    <row r="347" spans="1:7" x14ac:dyDescent="0.2">
      <c r="A347" s="2"/>
      <c r="G347">
        <v>0.57519267624816117</v>
      </c>
    </row>
    <row r="348" spans="1:7" x14ac:dyDescent="0.2">
      <c r="A348" s="2"/>
      <c r="G348">
        <v>0.54167274916006747</v>
      </c>
    </row>
    <row r="349" spans="1:7" x14ac:dyDescent="0.2">
      <c r="A349" s="2"/>
      <c r="G349">
        <v>0.69501007801514381</v>
      </c>
    </row>
    <row r="350" spans="1:7" x14ac:dyDescent="0.2">
      <c r="A350" s="2"/>
      <c r="G350">
        <v>0.58876471127742869</v>
      </c>
    </row>
    <row r="351" spans="1:7" x14ac:dyDescent="0.2">
      <c r="A351" s="2"/>
      <c r="G351">
        <v>0.75406461205718955</v>
      </c>
    </row>
    <row r="352" spans="1:7" x14ac:dyDescent="0.2">
      <c r="A352" s="2"/>
      <c r="G352">
        <v>0.66279628048242822</v>
      </c>
    </row>
    <row r="353" spans="1:7" x14ac:dyDescent="0.2">
      <c r="A353" s="2"/>
      <c r="G353">
        <v>0.76487482016139763</v>
      </c>
    </row>
    <row r="354" spans="1:7" x14ac:dyDescent="0.2">
      <c r="A354" s="2"/>
      <c r="G354">
        <v>0.51128718579406307</v>
      </c>
    </row>
    <row r="355" spans="1:7" x14ac:dyDescent="0.2">
      <c r="A355" s="2"/>
      <c r="G355">
        <v>0.51062915927366614</v>
      </c>
    </row>
    <row r="356" spans="1:7" x14ac:dyDescent="0.2">
      <c r="A356" s="2"/>
      <c r="G356">
        <v>0.47771673463732112</v>
      </c>
    </row>
    <row r="357" spans="1:7" x14ac:dyDescent="0.2">
      <c r="A357" s="2"/>
      <c r="G357">
        <v>0.71712320869902435</v>
      </c>
    </row>
    <row r="358" spans="1:7" x14ac:dyDescent="0.2">
      <c r="A358" s="2"/>
      <c r="G358">
        <v>0.49293478949578468</v>
      </c>
    </row>
    <row r="359" spans="1:7" x14ac:dyDescent="0.2">
      <c r="A359" s="2"/>
      <c r="G359">
        <v>0.32512346721723151</v>
      </c>
    </row>
    <row r="360" spans="1:7" x14ac:dyDescent="0.2">
      <c r="A360" s="2"/>
      <c r="G360">
        <v>0.35561300050804162</v>
      </c>
    </row>
    <row r="361" spans="1:7" x14ac:dyDescent="0.2">
      <c r="A361" s="2"/>
      <c r="G361">
        <v>0.44151706708605398</v>
      </c>
    </row>
    <row r="362" spans="1:7" x14ac:dyDescent="0.2">
      <c r="A362" s="2"/>
      <c r="G362">
        <v>0.44200391506719422</v>
      </c>
    </row>
    <row r="363" spans="1:7" x14ac:dyDescent="0.2">
      <c r="A363" s="2"/>
      <c r="G363">
        <v>0.38167739857271171</v>
      </c>
    </row>
    <row r="364" spans="1:7" x14ac:dyDescent="0.2">
      <c r="A364" s="2"/>
      <c r="G364">
        <v>0.39698938863613542</v>
      </c>
    </row>
    <row r="365" spans="1:7" x14ac:dyDescent="0.2">
      <c r="A365" s="2"/>
      <c r="G365">
        <v>0.50134577518296186</v>
      </c>
    </row>
    <row r="366" spans="1:7" x14ac:dyDescent="0.2">
      <c r="A366" s="2"/>
      <c r="G366">
        <v>0.53946630613028479</v>
      </c>
    </row>
    <row r="367" spans="1:7" x14ac:dyDescent="0.2">
      <c r="A367" s="2"/>
      <c r="G367">
        <v>0.42451290709296707</v>
      </c>
    </row>
    <row r="368" spans="1:7" x14ac:dyDescent="0.2">
      <c r="A368" s="2"/>
      <c r="G368">
        <v>0.28091178544471712</v>
      </c>
    </row>
    <row r="369" spans="1:7" x14ac:dyDescent="0.2">
      <c r="A369" s="2"/>
      <c r="G369">
        <v>0.2292293910716435</v>
      </c>
    </row>
    <row r="370" spans="1:7" x14ac:dyDescent="0.2">
      <c r="A370" s="2"/>
      <c r="G370">
        <v>0.39665543376031132</v>
      </c>
    </row>
    <row r="371" spans="1:7" x14ac:dyDescent="0.2">
      <c r="A371" s="2"/>
      <c r="G371">
        <v>0.25428015603849558</v>
      </c>
    </row>
    <row r="372" spans="1:7" x14ac:dyDescent="0.2">
      <c r="G372">
        <v>0.46059118243695402</v>
      </c>
    </row>
    <row r="373" spans="1:7" x14ac:dyDescent="0.2">
      <c r="G373">
        <v>0.25731489258172158</v>
      </c>
    </row>
    <row r="374" spans="1:7" x14ac:dyDescent="0.2">
      <c r="G374">
        <v>0.43282524173754189</v>
      </c>
    </row>
    <row r="375" spans="1:7" x14ac:dyDescent="0.2">
      <c r="G375">
        <v>0.26772660705947382</v>
      </c>
    </row>
    <row r="376" spans="1:7" x14ac:dyDescent="0.2">
      <c r="G376">
        <v>0.29524709655665521</v>
      </c>
    </row>
    <row r="377" spans="1:7" x14ac:dyDescent="0.2">
      <c r="G377">
        <v>0.59212998311407028</v>
      </c>
    </row>
    <row r="378" spans="1:7" x14ac:dyDescent="0.2">
      <c r="G378">
        <v>0.38069594663989248</v>
      </c>
    </row>
    <row r="379" spans="1:7" x14ac:dyDescent="0.2">
      <c r="G379">
        <v>0.54643070505883951</v>
      </c>
    </row>
    <row r="380" spans="1:7" x14ac:dyDescent="0.2">
      <c r="G380">
        <v>0.45967033847887101</v>
      </c>
    </row>
    <row r="381" spans="1:7" x14ac:dyDescent="0.2">
      <c r="G381">
        <v>0.60696031422505303</v>
      </c>
    </row>
    <row r="382" spans="1:7" x14ac:dyDescent="0.2">
      <c r="G382">
        <v>0.83914244822727457</v>
      </c>
    </row>
    <row r="383" spans="1:7" x14ac:dyDescent="0.2">
      <c r="G383">
        <v>0.57177870445789114</v>
      </c>
    </row>
    <row r="384" spans="1:7" x14ac:dyDescent="0.2">
      <c r="G384">
        <v>0.43583462798848038</v>
      </c>
    </row>
    <row r="385" spans="7:7" x14ac:dyDescent="0.2">
      <c r="G385">
        <v>0.38248410638934011</v>
      </c>
    </row>
    <row r="386" spans="7:7" x14ac:dyDescent="0.2">
      <c r="G386">
        <v>0.46426949683270669</v>
      </c>
    </row>
    <row r="387" spans="7:7" x14ac:dyDescent="0.2">
      <c r="G387">
        <v>0.36844931286525801</v>
      </c>
    </row>
    <row r="388" spans="7:7" x14ac:dyDescent="0.2">
      <c r="G388">
        <v>0.29500491465445011</v>
      </c>
    </row>
    <row r="389" spans="7:7" x14ac:dyDescent="0.2">
      <c r="G389">
        <v>0.26104374112883738</v>
      </c>
    </row>
    <row r="390" spans="7:7" x14ac:dyDescent="0.2">
      <c r="G390">
        <v>0.27996749523485359</v>
      </c>
    </row>
    <row r="391" spans="7:7" x14ac:dyDescent="0.2">
      <c r="G391">
        <v>0.38957208101714608</v>
      </c>
    </row>
    <row r="392" spans="7:7" x14ac:dyDescent="0.2">
      <c r="G392">
        <v>0.35264763601026838</v>
      </c>
    </row>
    <row r="393" spans="7:7" x14ac:dyDescent="0.2">
      <c r="G393">
        <v>0.4718401658425575</v>
      </c>
    </row>
    <row r="394" spans="7:7" x14ac:dyDescent="0.2">
      <c r="G394">
        <v>0.41978211610295818</v>
      </c>
    </row>
    <row r="395" spans="7:7" x14ac:dyDescent="0.2">
      <c r="G395">
        <v>0.27383045906103809</v>
      </c>
    </row>
    <row r="396" spans="7:7" x14ac:dyDescent="0.2">
      <c r="G396">
        <v>0.33393305588905969</v>
      </c>
    </row>
    <row r="397" spans="7:7" x14ac:dyDescent="0.2">
      <c r="G397">
        <v>0.33393305588905969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188D-FF0E-9A4D-BBB5-771E5DABD03E}">
  <dimension ref="A1:N253"/>
  <sheetViews>
    <sheetView workbookViewId="0">
      <selection activeCell="G1" sqref="G1"/>
    </sheetView>
  </sheetViews>
  <sheetFormatPr baseColWidth="10" defaultRowHeight="16" x14ac:dyDescent="0.2"/>
  <cols>
    <col min="2" max="2" width="40.1640625" bestFit="1" customWidth="1"/>
    <col min="7" max="7" width="23.5" bestFit="1" customWidth="1"/>
  </cols>
  <sheetData>
    <row r="1" spans="1:14" x14ac:dyDescent="0.2">
      <c r="A1" t="s">
        <v>258</v>
      </c>
      <c r="B1" t="s">
        <v>259</v>
      </c>
      <c r="F1" t="s">
        <v>261</v>
      </c>
      <c r="G1" t="s">
        <v>262</v>
      </c>
    </row>
    <row r="2" spans="1:14" x14ac:dyDescent="0.2">
      <c r="B2" t="s">
        <v>260</v>
      </c>
    </row>
    <row r="4" spans="1:14" x14ac:dyDescent="0.2">
      <c r="F4" s="6" t="s">
        <v>257</v>
      </c>
    </row>
    <row r="5" spans="1:14" x14ac:dyDescent="0.2">
      <c r="A5" s="4"/>
      <c r="B5" t="s">
        <v>0</v>
      </c>
      <c r="C5" t="s">
        <v>1</v>
      </c>
      <c r="D5" t="s">
        <v>2</v>
      </c>
      <c r="F5" s="6">
        <v>27.918635605515149</v>
      </c>
      <c r="G5" t="s">
        <v>3</v>
      </c>
      <c r="H5" t="s">
        <v>4</v>
      </c>
      <c r="I5" t="s">
        <v>5</v>
      </c>
      <c r="L5" t="s">
        <v>6</v>
      </c>
      <c r="N5" t="s">
        <v>256</v>
      </c>
    </row>
    <row r="6" spans="1:14" x14ac:dyDescent="0.2">
      <c r="B6" t="s">
        <v>7</v>
      </c>
      <c r="G6" t="s">
        <v>7</v>
      </c>
    </row>
    <row r="7" spans="1:14" x14ac:dyDescent="0.2">
      <c r="A7" t="s">
        <v>10</v>
      </c>
      <c r="B7">
        <v>0.46993489999999999</v>
      </c>
      <c r="C7">
        <f>AVERAGE(B7:B179)</f>
        <v>1.1789812828422042</v>
      </c>
      <c r="D7">
        <f>STDEV(B7:B179)</f>
        <v>0.8175879749968672</v>
      </c>
      <c r="F7" t="s">
        <v>10</v>
      </c>
      <c r="G7" s="5"/>
      <c r="H7">
        <f>AVERAGE(G7:G179)</f>
        <v>1.3116920445659217</v>
      </c>
      <c r="I7">
        <f>STDEV(G7:G179)</f>
        <v>1.0594205810961264</v>
      </c>
      <c r="L7">
        <f>CORREL(G7:G179,B7:B179)</f>
        <v>0.79648356295883305</v>
      </c>
      <c r="N7">
        <f>G8-B8</f>
        <v>3.3298517531308267</v>
      </c>
    </row>
    <row r="8" spans="1:14" x14ac:dyDescent="0.2">
      <c r="A8" t="s">
        <v>11</v>
      </c>
      <c r="B8">
        <v>0.50261820000000001</v>
      </c>
      <c r="F8" t="s">
        <v>11</v>
      </c>
      <c r="G8">
        <v>3.8324699531308268</v>
      </c>
      <c r="N8">
        <f t="shared" ref="N8:N71" si="0">G9-B9</f>
        <v>0.92112459761683896</v>
      </c>
    </row>
    <row r="9" spans="1:14" x14ac:dyDescent="0.2">
      <c r="A9" t="s">
        <v>12</v>
      </c>
      <c r="B9">
        <v>0.78147520000000004</v>
      </c>
      <c r="F9" t="s">
        <v>12</v>
      </c>
      <c r="G9">
        <v>1.702599797616839</v>
      </c>
      <c r="N9">
        <f t="shared" si="0"/>
        <v>0.21778475833868882</v>
      </c>
    </row>
    <row r="10" spans="1:14" x14ac:dyDescent="0.2">
      <c r="A10" t="s">
        <v>13</v>
      </c>
      <c r="B10">
        <v>0.6815909</v>
      </c>
      <c r="F10" t="s">
        <v>13</v>
      </c>
      <c r="G10">
        <v>0.89937565833868882</v>
      </c>
      <c r="N10">
        <f t="shared" si="0"/>
        <v>0.35741965243861884</v>
      </c>
    </row>
    <row r="11" spans="1:14" x14ac:dyDescent="0.2">
      <c r="A11" t="s">
        <v>14</v>
      </c>
      <c r="B11">
        <v>2.2014140000000002</v>
      </c>
      <c r="F11" t="s">
        <v>14</v>
      </c>
      <c r="G11">
        <v>2.558833652438619</v>
      </c>
      <c r="N11">
        <f t="shared" si="0"/>
        <v>0.7873398066218309</v>
      </c>
    </row>
    <row r="12" spans="1:14" x14ac:dyDescent="0.2">
      <c r="A12" t="s">
        <v>15</v>
      </c>
      <c r="B12">
        <v>1.1725950000000001</v>
      </c>
      <c r="F12" t="s">
        <v>15</v>
      </c>
      <c r="G12">
        <v>1.9599348066218309</v>
      </c>
      <c r="N12">
        <f t="shared" si="0"/>
        <v>-3.1498069280495589E-3</v>
      </c>
    </row>
    <row r="13" spans="1:14" x14ac:dyDescent="0.2">
      <c r="A13" t="s">
        <v>16</v>
      </c>
      <c r="B13">
        <v>0.66834740000000004</v>
      </c>
      <c r="F13" t="s">
        <v>16</v>
      </c>
      <c r="G13">
        <v>0.66519759307195048</v>
      </c>
      <c r="N13">
        <f t="shared" si="0"/>
        <v>-1.3976840719003292E-3</v>
      </c>
    </row>
    <row r="14" spans="1:14" x14ac:dyDescent="0.2">
      <c r="A14" t="s">
        <v>17</v>
      </c>
      <c r="B14">
        <v>2.0965120000000002</v>
      </c>
      <c r="F14" t="s">
        <v>17</v>
      </c>
      <c r="G14">
        <v>2.0951143159280998</v>
      </c>
      <c r="N14">
        <f t="shared" si="0"/>
        <v>-2.6022523877291093E-2</v>
      </c>
    </row>
    <row r="15" spans="1:14" x14ac:dyDescent="0.2">
      <c r="A15" t="s">
        <v>18</v>
      </c>
      <c r="B15">
        <v>1.332416</v>
      </c>
      <c r="F15" t="s">
        <v>18</v>
      </c>
      <c r="G15">
        <v>1.306393476122709</v>
      </c>
      <c r="N15">
        <f t="shared" si="0"/>
        <v>2.208609683341578E-3</v>
      </c>
    </row>
    <row r="16" spans="1:14" x14ac:dyDescent="0.2">
      <c r="A16" t="s">
        <v>19</v>
      </c>
      <c r="B16">
        <v>0.62884459999999998</v>
      </c>
      <c r="F16" t="s">
        <v>19</v>
      </c>
      <c r="G16">
        <v>0.63105320968334155</v>
      </c>
      <c r="N16">
        <f t="shared" si="0"/>
        <v>-1.7176940531845097E-2</v>
      </c>
    </row>
    <row r="17" spans="1:14" x14ac:dyDescent="0.2">
      <c r="A17" t="s">
        <v>20</v>
      </c>
      <c r="B17">
        <v>0.4108562</v>
      </c>
      <c r="F17" t="s">
        <v>20</v>
      </c>
      <c r="G17">
        <v>0.39367925946815491</v>
      </c>
      <c r="N17">
        <f t="shared" si="0"/>
        <v>-0.8232783900831242</v>
      </c>
    </row>
    <row r="18" spans="1:14" x14ac:dyDescent="0.2">
      <c r="A18" t="s">
        <v>21</v>
      </c>
      <c r="B18">
        <v>2.5538180000000001</v>
      </c>
      <c r="F18" t="s">
        <v>21</v>
      </c>
      <c r="G18">
        <v>1.7305396099168759</v>
      </c>
      <c r="N18">
        <f t="shared" si="0"/>
        <v>-0.96531464861764227</v>
      </c>
    </row>
    <row r="19" spans="1:14" x14ac:dyDescent="0.2">
      <c r="A19" t="s">
        <v>22</v>
      </c>
      <c r="B19">
        <v>2.0077950000000002</v>
      </c>
      <c r="F19" t="s">
        <v>22</v>
      </c>
      <c r="G19">
        <v>1.042480351382358</v>
      </c>
      <c r="N19">
        <f t="shared" si="0"/>
        <v>-0.27823130453983308</v>
      </c>
    </row>
    <row r="20" spans="1:14" x14ac:dyDescent="0.2">
      <c r="A20" t="s">
        <v>23</v>
      </c>
      <c r="B20">
        <v>0.64673049999999999</v>
      </c>
      <c r="F20" t="s">
        <v>23</v>
      </c>
      <c r="G20">
        <v>0.36849919546016691</v>
      </c>
      <c r="N20">
        <f t="shared" si="0"/>
        <v>0.12637943326950907</v>
      </c>
    </row>
    <row r="21" spans="1:14" x14ac:dyDescent="0.2">
      <c r="A21" t="s">
        <v>24</v>
      </c>
      <c r="B21">
        <v>0.78888999999999998</v>
      </c>
      <c r="F21" t="s">
        <v>24</v>
      </c>
      <c r="G21">
        <v>0.91526943326950905</v>
      </c>
      <c r="N21">
        <f t="shared" si="0"/>
        <v>2.6196317932668189E-2</v>
      </c>
    </row>
    <row r="22" spans="1:14" x14ac:dyDescent="0.2">
      <c r="A22" t="s">
        <v>25</v>
      </c>
      <c r="B22">
        <v>0.65278650000000005</v>
      </c>
      <c r="F22" t="s">
        <v>25</v>
      </c>
      <c r="G22">
        <v>0.67898281793266824</v>
      </c>
      <c r="N22">
        <f t="shared" si="0"/>
        <v>-8.9625665016742628E-2</v>
      </c>
    </row>
    <row r="23" spans="1:14" x14ac:dyDescent="0.2">
      <c r="A23" t="s">
        <v>26</v>
      </c>
      <c r="B23">
        <v>1.0847599999999999</v>
      </c>
      <c r="F23" t="s">
        <v>26</v>
      </c>
      <c r="G23">
        <v>0.99513433498325732</v>
      </c>
      <c r="N23">
        <f t="shared" si="0"/>
        <v>9.4837080923405148E-2</v>
      </c>
    </row>
    <row r="24" spans="1:14" x14ac:dyDescent="0.2">
      <c r="A24" t="s">
        <v>27</v>
      </c>
      <c r="B24">
        <v>1.2473289999999999</v>
      </c>
      <c r="F24" t="s">
        <v>27</v>
      </c>
      <c r="G24">
        <v>1.3421660809234051</v>
      </c>
      <c r="N24">
        <f t="shared" si="0"/>
        <v>6.1548229610687066E-2</v>
      </c>
    </row>
    <row r="25" spans="1:14" x14ac:dyDescent="0.2">
      <c r="A25" t="s">
        <v>28</v>
      </c>
      <c r="B25">
        <v>1.107464</v>
      </c>
      <c r="F25" t="s">
        <v>28</v>
      </c>
      <c r="G25">
        <v>1.1690122296106871</v>
      </c>
      <c r="N25">
        <f t="shared" si="0"/>
        <v>-0.86602832937787078</v>
      </c>
    </row>
    <row r="26" spans="1:14" x14ac:dyDescent="0.2">
      <c r="A26" t="s">
        <v>29</v>
      </c>
      <c r="B26">
        <v>2.3358249999999998</v>
      </c>
      <c r="F26" t="s">
        <v>29</v>
      </c>
      <c r="G26">
        <v>1.469796670622129</v>
      </c>
      <c r="N26">
        <f t="shared" si="0"/>
        <v>-2.8224487876403748E-3</v>
      </c>
    </row>
    <row r="27" spans="1:14" x14ac:dyDescent="0.2">
      <c r="A27" t="s">
        <v>30</v>
      </c>
      <c r="B27">
        <v>0.76657560000000002</v>
      </c>
      <c r="F27" t="s">
        <v>30</v>
      </c>
      <c r="G27">
        <v>0.76375315121235965</v>
      </c>
      <c r="N27">
        <f t="shared" si="0"/>
        <v>1.1325001716756988E-2</v>
      </c>
    </row>
    <row r="28" spans="1:14" x14ac:dyDescent="0.2">
      <c r="A28" t="s">
        <v>31</v>
      </c>
      <c r="B28">
        <v>1.070117</v>
      </c>
      <c r="F28" t="s">
        <v>31</v>
      </c>
      <c r="G28">
        <v>1.081442001716757</v>
      </c>
      <c r="N28">
        <f t="shared" si="0"/>
        <v>-1.1708599895740466</v>
      </c>
    </row>
    <row r="29" spans="1:14" x14ac:dyDescent="0.2">
      <c r="A29" t="s">
        <v>32</v>
      </c>
      <c r="B29">
        <v>2.1701130000000002</v>
      </c>
      <c r="F29" t="s">
        <v>32</v>
      </c>
      <c r="G29">
        <v>0.9992530104259536</v>
      </c>
      <c r="N29">
        <f t="shared" si="0"/>
        <v>1.1346447117518976E-2</v>
      </c>
    </row>
    <row r="30" spans="1:14" x14ac:dyDescent="0.2">
      <c r="A30" t="s">
        <v>33</v>
      </c>
      <c r="B30">
        <v>0.8229206</v>
      </c>
      <c r="F30" t="s">
        <v>33</v>
      </c>
      <c r="G30">
        <v>0.83426704711751898</v>
      </c>
      <c r="N30">
        <f t="shared" si="0"/>
        <v>4.6755292036491924E-2</v>
      </c>
    </row>
    <row r="31" spans="1:14" x14ac:dyDescent="0.2">
      <c r="A31" t="s">
        <v>34</v>
      </c>
      <c r="B31">
        <v>0.47080519999999998</v>
      </c>
      <c r="F31" t="s">
        <v>34</v>
      </c>
      <c r="G31">
        <v>0.5175604920364919</v>
      </c>
      <c r="N31">
        <f t="shared" si="0"/>
        <v>1.4570026359803701E-2</v>
      </c>
    </row>
    <row r="32" spans="1:14" x14ac:dyDescent="0.2">
      <c r="A32" t="s">
        <v>35</v>
      </c>
      <c r="B32">
        <v>0.45389449999999998</v>
      </c>
      <c r="F32" t="s">
        <v>35</v>
      </c>
      <c r="G32">
        <v>0.46846452635980368</v>
      </c>
      <c r="N32">
        <f t="shared" si="0"/>
        <v>-2.8258261446449939E-2</v>
      </c>
    </row>
    <row r="33" spans="1:14" x14ac:dyDescent="0.2">
      <c r="A33" t="s">
        <v>36</v>
      </c>
      <c r="B33">
        <v>1.053946</v>
      </c>
      <c r="F33" t="s">
        <v>36</v>
      </c>
      <c r="G33">
        <v>1.0256877385535501</v>
      </c>
      <c r="N33">
        <f t="shared" si="0"/>
        <v>1.4385449510482928E-2</v>
      </c>
    </row>
    <row r="34" spans="1:14" x14ac:dyDescent="0.2">
      <c r="A34" t="s">
        <v>37</v>
      </c>
      <c r="B34">
        <v>0.92294690000000001</v>
      </c>
      <c r="F34" t="s">
        <v>37</v>
      </c>
      <c r="G34">
        <v>0.93733234951048294</v>
      </c>
      <c r="N34">
        <f t="shared" si="0"/>
        <v>-5.9377625559009495E-3</v>
      </c>
    </row>
    <row r="35" spans="1:14" x14ac:dyDescent="0.2">
      <c r="A35" t="s">
        <v>38</v>
      </c>
      <c r="B35">
        <v>1.391262</v>
      </c>
      <c r="F35" t="s">
        <v>38</v>
      </c>
      <c r="G35">
        <v>1.385324237444099</v>
      </c>
      <c r="N35">
        <f t="shared" si="0"/>
        <v>2.118899934442009E-2</v>
      </c>
    </row>
    <row r="36" spans="1:14" x14ac:dyDescent="0.2">
      <c r="A36" t="s">
        <v>39</v>
      </c>
      <c r="B36">
        <v>1.3196749999999999</v>
      </c>
      <c r="F36" t="s">
        <v>39</v>
      </c>
      <c r="G36">
        <v>1.34086399934442</v>
      </c>
      <c r="N36">
        <f t="shared" si="0"/>
        <v>-5.0881008308075737E-3</v>
      </c>
    </row>
    <row r="37" spans="1:14" x14ac:dyDescent="0.2">
      <c r="A37" t="s">
        <v>40</v>
      </c>
      <c r="B37">
        <v>0.99444719999999998</v>
      </c>
      <c r="F37" t="s">
        <v>40</v>
      </c>
      <c r="G37">
        <v>0.9893590991691924</v>
      </c>
      <c r="N37">
        <f t="shared" si="0"/>
        <v>-9.2594191162564954E-4</v>
      </c>
    </row>
    <row r="38" spans="1:14" x14ac:dyDescent="0.2">
      <c r="A38" t="s">
        <v>41</v>
      </c>
      <c r="B38">
        <v>0.66774049999999996</v>
      </c>
      <c r="F38" t="s">
        <v>41</v>
      </c>
      <c r="G38">
        <v>0.66681455808837431</v>
      </c>
      <c r="N38">
        <f t="shared" si="0"/>
        <v>1.5837062014618652E-3</v>
      </c>
    </row>
    <row r="39" spans="1:14" x14ac:dyDescent="0.2">
      <c r="A39" t="s">
        <v>42</v>
      </c>
      <c r="B39">
        <v>1.0170140000000001</v>
      </c>
      <c r="F39" t="s">
        <v>42</v>
      </c>
      <c r="G39">
        <v>1.0185977062014619</v>
      </c>
      <c r="N39">
        <f t="shared" si="0"/>
        <v>5.5180662888862919E-2</v>
      </c>
    </row>
    <row r="40" spans="1:14" x14ac:dyDescent="0.2">
      <c r="A40" t="s">
        <v>43</v>
      </c>
      <c r="B40">
        <v>3.3562099999999999</v>
      </c>
      <c r="F40" t="s">
        <v>43</v>
      </c>
      <c r="G40">
        <v>3.4113906628888628</v>
      </c>
      <c r="N40">
        <f t="shared" si="0"/>
        <v>0.76115456930980119</v>
      </c>
    </row>
    <row r="41" spans="1:14" x14ac:dyDescent="0.2">
      <c r="A41" t="s">
        <v>44</v>
      </c>
      <c r="B41">
        <v>1.614358</v>
      </c>
      <c r="F41" t="s">
        <v>44</v>
      </c>
      <c r="G41">
        <v>2.3755125693098011</v>
      </c>
      <c r="N41">
        <f t="shared" si="0"/>
        <v>0.9375619013931511</v>
      </c>
    </row>
    <row r="42" spans="1:14" x14ac:dyDescent="0.2">
      <c r="A42" t="s">
        <v>45</v>
      </c>
      <c r="B42">
        <v>1.859189</v>
      </c>
      <c r="F42" t="s">
        <v>45</v>
      </c>
      <c r="G42">
        <v>2.7967509013931511</v>
      </c>
      <c r="N42">
        <f t="shared" si="0"/>
        <v>0.88694418036038725</v>
      </c>
    </row>
    <row r="43" spans="1:14" x14ac:dyDescent="0.2">
      <c r="A43" t="s">
        <v>46</v>
      </c>
      <c r="B43">
        <v>2.9734569999999998</v>
      </c>
      <c r="F43" t="s">
        <v>46</v>
      </c>
      <c r="G43">
        <v>3.860401180360387</v>
      </c>
      <c r="N43">
        <f t="shared" si="0"/>
        <v>1.8200148295775271</v>
      </c>
    </row>
    <row r="44" spans="1:14" x14ac:dyDescent="0.2">
      <c r="A44" t="s">
        <v>47</v>
      </c>
      <c r="B44">
        <v>2.424029</v>
      </c>
      <c r="F44" t="s">
        <v>47</v>
      </c>
      <c r="G44">
        <v>4.2440438295775271</v>
      </c>
      <c r="N44">
        <f t="shared" si="0"/>
        <v>1.8666605317185385</v>
      </c>
    </row>
    <row r="45" spans="1:14" x14ac:dyDescent="0.2">
      <c r="A45" t="s">
        <v>48</v>
      </c>
      <c r="B45">
        <v>2.9917050000000001</v>
      </c>
      <c r="F45" t="s">
        <v>48</v>
      </c>
      <c r="G45">
        <v>4.8583655317185386</v>
      </c>
      <c r="N45">
        <f t="shared" si="0"/>
        <v>1.122944391582871</v>
      </c>
    </row>
    <row r="46" spans="1:14" x14ac:dyDescent="0.2">
      <c r="A46" t="s">
        <v>49</v>
      </c>
      <c r="B46">
        <v>2.6728890000000001</v>
      </c>
      <c r="F46" t="s">
        <v>49</v>
      </c>
      <c r="G46">
        <v>3.795833391582871</v>
      </c>
      <c r="N46">
        <f t="shared" si="0"/>
        <v>2.7672908091814987</v>
      </c>
    </row>
    <row r="47" spans="1:14" x14ac:dyDescent="0.2">
      <c r="A47" t="s">
        <v>50</v>
      </c>
      <c r="B47">
        <v>2.0699920000000001</v>
      </c>
      <c r="F47" t="s">
        <v>50</v>
      </c>
      <c r="G47">
        <v>4.8372828091814988</v>
      </c>
      <c r="N47">
        <f t="shared" si="0"/>
        <v>1.6921451516097248</v>
      </c>
    </row>
    <row r="48" spans="1:14" x14ac:dyDescent="0.2">
      <c r="A48" t="s">
        <v>51</v>
      </c>
      <c r="B48">
        <v>2.7194539999999998</v>
      </c>
      <c r="F48" t="s">
        <v>51</v>
      </c>
      <c r="G48">
        <v>4.4115991516097246</v>
      </c>
      <c r="N48">
        <f t="shared" si="0"/>
        <v>2.1894853185563727</v>
      </c>
    </row>
    <row r="49" spans="1:14" x14ac:dyDescent="0.2">
      <c r="A49" t="s">
        <v>52</v>
      </c>
      <c r="B49">
        <v>1.9324619999999999</v>
      </c>
      <c r="F49" t="s">
        <v>52</v>
      </c>
      <c r="G49">
        <v>4.1219473185563729</v>
      </c>
      <c r="N49">
        <f t="shared" si="0"/>
        <v>3.5483059482151691</v>
      </c>
    </row>
    <row r="50" spans="1:14" x14ac:dyDescent="0.2">
      <c r="A50" t="s">
        <v>53</v>
      </c>
      <c r="B50">
        <v>0.53658839999999997</v>
      </c>
      <c r="F50" t="s">
        <v>53</v>
      </c>
      <c r="G50">
        <v>4.0848943482151689</v>
      </c>
      <c r="N50">
        <f t="shared" si="0"/>
        <v>0.59462414035753586</v>
      </c>
    </row>
    <row r="51" spans="1:14" x14ac:dyDescent="0.2">
      <c r="A51" t="s">
        <v>54</v>
      </c>
      <c r="B51">
        <v>2.2350850000000002</v>
      </c>
      <c r="F51" t="s">
        <v>54</v>
      </c>
      <c r="G51">
        <v>2.8297091403575361</v>
      </c>
      <c r="N51">
        <f t="shared" si="0"/>
        <v>1.9751348768001671</v>
      </c>
    </row>
    <row r="52" spans="1:14" x14ac:dyDescent="0.2">
      <c r="A52" t="s">
        <v>55</v>
      </c>
      <c r="B52">
        <v>1.7965180000000001</v>
      </c>
      <c r="F52" t="s">
        <v>55</v>
      </c>
      <c r="G52">
        <v>3.7716528768001671</v>
      </c>
      <c r="N52">
        <f t="shared" si="0"/>
        <v>2.739772273724741</v>
      </c>
    </row>
    <row r="53" spans="1:14" x14ac:dyDescent="0.2">
      <c r="A53" t="s">
        <v>56</v>
      </c>
      <c r="B53">
        <v>1.438847</v>
      </c>
      <c r="F53" t="s">
        <v>56</v>
      </c>
      <c r="G53">
        <v>4.178619273724741</v>
      </c>
      <c r="N53">
        <f t="shared" si="0"/>
        <v>0.53612120003518671</v>
      </c>
    </row>
    <row r="54" spans="1:14" x14ac:dyDescent="0.2">
      <c r="A54" t="s">
        <v>57</v>
      </c>
      <c r="B54">
        <v>2.5481060000000002</v>
      </c>
      <c r="F54" t="s">
        <v>57</v>
      </c>
      <c r="G54">
        <v>3.0842272000351869</v>
      </c>
      <c r="N54">
        <f>G55-B55</f>
        <v>0</v>
      </c>
    </row>
    <row r="55" spans="1:14" x14ac:dyDescent="0.2">
      <c r="A55" t="s">
        <v>58</v>
      </c>
      <c r="B55">
        <v>0</v>
      </c>
      <c r="F55" t="s">
        <v>58</v>
      </c>
      <c r="G55">
        <v>0</v>
      </c>
      <c r="N55">
        <f t="shared" si="0"/>
        <v>0</v>
      </c>
    </row>
    <row r="56" spans="1:14" x14ac:dyDescent="0.2">
      <c r="A56" t="s">
        <v>59</v>
      </c>
      <c r="B56">
        <v>0</v>
      </c>
      <c r="F56" t="s">
        <v>59</v>
      </c>
      <c r="G56">
        <v>0</v>
      </c>
      <c r="N56">
        <f t="shared" si="0"/>
        <v>0</v>
      </c>
    </row>
    <row r="57" spans="1:14" x14ac:dyDescent="0.2">
      <c r="A57" t="s">
        <v>60</v>
      </c>
      <c r="B57">
        <v>0</v>
      </c>
      <c r="F57" t="s">
        <v>60</v>
      </c>
      <c r="G57">
        <v>0</v>
      </c>
      <c r="N57">
        <f t="shared" si="0"/>
        <v>0</v>
      </c>
    </row>
    <row r="58" spans="1:14" x14ac:dyDescent="0.2">
      <c r="A58" t="s">
        <v>61</v>
      </c>
      <c r="B58">
        <v>0</v>
      </c>
      <c r="F58" t="s">
        <v>61</v>
      </c>
      <c r="G58">
        <v>0</v>
      </c>
      <c r="N58">
        <f t="shared" si="0"/>
        <v>0</v>
      </c>
    </row>
    <row r="59" spans="1:14" x14ac:dyDescent="0.2">
      <c r="A59" t="s">
        <v>62</v>
      </c>
      <c r="B59">
        <v>0</v>
      </c>
      <c r="F59" t="s">
        <v>62</v>
      </c>
      <c r="G59">
        <v>0</v>
      </c>
      <c r="N59">
        <f t="shared" si="0"/>
        <v>-1.063338394623238</v>
      </c>
    </row>
    <row r="60" spans="1:14" x14ac:dyDescent="0.2">
      <c r="A60" t="s">
        <v>63</v>
      </c>
      <c r="B60">
        <v>2.485274</v>
      </c>
      <c r="F60" t="s">
        <v>63</v>
      </c>
      <c r="G60">
        <v>1.421935605376762</v>
      </c>
      <c r="N60">
        <f t="shared" si="0"/>
        <v>-1.6324854007712697</v>
      </c>
    </row>
    <row r="61" spans="1:14" x14ac:dyDescent="0.2">
      <c r="A61" t="s">
        <v>64</v>
      </c>
      <c r="B61">
        <v>2.5902989999999999</v>
      </c>
      <c r="F61" t="s">
        <v>64</v>
      </c>
      <c r="G61">
        <v>0.95781359922873022</v>
      </c>
      <c r="N61">
        <f t="shared" si="0"/>
        <v>1.3464043125559155E-2</v>
      </c>
    </row>
    <row r="62" spans="1:14" x14ac:dyDescent="0.2">
      <c r="A62" t="s">
        <v>65</v>
      </c>
      <c r="B62">
        <v>0.70417090000000004</v>
      </c>
      <c r="F62" t="s">
        <v>65</v>
      </c>
      <c r="G62">
        <v>0.7176349431255592</v>
      </c>
      <c r="N62">
        <f t="shared" si="0"/>
        <v>-1.5578300796318612E-2</v>
      </c>
    </row>
    <row r="63" spans="1:14" x14ac:dyDescent="0.2">
      <c r="A63" t="s">
        <v>66</v>
      </c>
      <c r="B63">
        <v>0.863649</v>
      </c>
      <c r="F63" t="s">
        <v>66</v>
      </c>
      <c r="G63">
        <v>0.84807069920368139</v>
      </c>
      <c r="N63">
        <f t="shared" si="0"/>
        <v>-5.3378005468889267E-3</v>
      </c>
    </row>
    <row r="64" spans="1:14" x14ac:dyDescent="0.2">
      <c r="A64" t="s">
        <v>67</v>
      </c>
      <c r="B64">
        <v>1.076001</v>
      </c>
      <c r="F64" t="s">
        <v>67</v>
      </c>
      <c r="G64">
        <v>1.0706631994531111</v>
      </c>
      <c r="N64">
        <f t="shared" si="0"/>
        <v>-0.1444352763038862</v>
      </c>
    </row>
    <row r="65" spans="1:14" x14ac:dyDescent="0.2">
      <c r="A65" t="s">
        <v>68</v>
      </c>
      <c r="B65">
        <v>0.9878806</v>
      </c>
      <c r="F65" t="s">
        <v>68</v>
      </c>
      <c r="G65">
        <v>0.8434453236961138</v>
      </c>
      <c r="N65">
        <f t="shared" si="0"/>
        <v>-4.8769709159325769E-2</v>
      </c>
    </row>
    <row r="66" spans="1:14" x14ac:dyDescent="0.2">
      <c r="A66" t="s">
        <v>69</v>
      </c>
      <c r="B66">
        <v>0.56859820000000005</v>
      </c>
      <c r="F66" t="s">
        <v>69</v>
      </c>
      <c r="G66">
        <v>0.51982849084067428</v>
      </c>
      <c r="N66">
        <f t="shared" si="0"/>
        <v>8.4691681245071981E-2</v>
      </c>
    </row>
    <row r="67" spans="1:14" x14ac:dyDescent="0.2">
      <c r="A67" t="s">
        <v>70</v>
      </c>
      <c r="B67">
        <v>1.214488</v>
      </c>
      <c r="F67" t="s">
        <v>70</v>
      </c>
      <c r="G67">
        <v>1.299179681245072</v>
      </c>
      <c r="N67">
        <f t="shared" si="0"/>
        <v>0.30722154091694298</v>
      </c>
    </row>
    <row r="68" spans="1:14" x14ac:dyDescent="0.2">
      <c r="A68" t="s">
        <v>71</v>
      </c>
      <c r="B68">
        <v>1.1404460000000001</v>
      </c>
      <c r="F68" t="s">
        <v>71</v>
      </c>
      <c r="G68">
        <v>1.4476675409169431</v>
      </c>
      <c r="N68">
        <f t="shared" si="0"/>
        <v>-1.3159044743420494</v>
      </c>
    </row>
    <row r="69" spans="1:14" x14ac:dyDescent="0.2">
      <c r="A69" t="s">
        <v>72</v>
      </c>
      <c r="B69">
        <v>1.5212559999999999</v>
      </c>
      <c r="F69" t="s">
        <v>72</v>
      </c>
      <c r="G69">
        <v>0.20535152565795059</v>
      </c>
      <c r="N69">
        <f t="shared" si="0"/>
        <v>-8.95677E-2</v>
      </c>
    </row>
    <row r="70" spans="1:14" x14ac:dyDescent="0.2">
      <c r="A70" t="s">
        <v>73</v>
      </c>
      <c r="B70">
        <v>8.95677E-2</v>
      </c>
      <c r="F70" t="s">
        <v>73</v>
      </c>
      <c r="G70">
        <v>0</v>
      </c>
      <c r="N70">
        <f t="shared" si="0"/>
        <v>-0.34227787463690995</v>
      </c>
    </row>
    <row r="71" spans="1:14" x14ac:dyDescent="0.2">
      <c r="A71" t="s">
        <v>74</v>
      </c>
      <c r="B71">
        <v>0.61677380000000004</v>
      </c>
      <c r="F71" t="s">
        <v>74</v>
      </c>
      <c r="G71">
        <v>0.27449592536309009</v>
      </c>
      <c r="N71">
        <f t="shared" si="0"/>
        <v>-3.3287529850907216E-3</v>
      </c>
    </row>
    <row r="72" spans="1:14" x14ac:dyDescent="0.2">
      <c r="A72" t="s">
        <v>75</v>
      </c>
      <c r="B72">
        <v>0.66896580000000005</v>
      </c>
      <c r="F72" t="s">
        <v>75</v>
      </c>
      <c r="G72">
        <v>0.66563704701490933</v>
      </c>
      <c r="N72">
        <f t="shared" ref="N72:N98" si="1">G73-B73</f>
        <v>6.3304394263719033E-4</v>
      </c>
    </row>
    <row r="73" spans="1:14" x14ac:dyDescent="0.2">
      <c r="A73" t="s">
        <v>76</v>
      </c>
      <c r="B73">
        <v>0.4603139</v>
      </c>
      <c r="F73" t="s">
        <v>76</v>
      </c>
      <c r="G73">
        <v>0.46094694394263719</v>
      </c>
      <c r="N73">
        <f t="shared" si="1"/>
        <v>-1.2215859235161997E-2</v>
      </c>
    </row>
    <row r="74" spans="1:14" x14ac:dyDescent="0.2">
      <c r="A74" t="s">
        <v>77</v>
      </c>
      <c r="B74">
        <v>1.491079</v>
      </c>
      <c r="F74" t="s">
        <v>77</v>
      </c>
      <c r="G74">
        <v>1.478863140764838</v>
      </c>
      <c r="N74">
        <f t="shared" si="1"/>
        <v>3.0813804634239883E-3</v>
      </c>
    </row>
    <row r="75" spans="1:14" x14ac:dyDescent="0.2">
      <c r="A75" t="s">
        <v>78</v>
      </c>
      <c r="B75">
        <v>1.7649680000000001</v>
      </c>
      <c r="F75" t="s">
        <v>78</v>
      </c>
      <c r="G75">
        <v>1.7680493804634241</v>
      </c>
      <c r="N75">
        <f t="shared" si="1"/>
        <v>-2.5303862705161606E-7</v>
      </c>
    </row>
    <row r="76" spans="1:14" x14ac:dyDescent="0.2">
      <c r="A76" t="s">
        <v>79</v>
      </c>
      <c r="B76">
        <v>0.77761729999999996</v>
      </c>
      <c r="F76" t="s">
        <v>79</v>
      </c>
      <c r="G76">
        <v>0.7776170469613729</v>
      </c>
      <c r="N76">
        <f t="shared" si="1"/>
        <v>-9.467409655505854E-4</v>
      </c>
    </row>
    <row r="77" spans="1:14" x14ac:dyDescent="0.2">
      <c r="A77" t="s">
        <v>80</v>
      </c>
      <c r="B77">
        <v>0.72043639999999998</v>
      </c>
      <c r="F77" t="s">
        <v>80</v>
      </c>
      <c r="G77">
        <v>0.71948965903444939</v>
      </c>
      <c r="N77">
        <f t="shared" si="1"/>
        <v>-1.134770573838817E-3</v>
      </c>
    </row>
    <row r="78" spans="1:14" x14ac:dyDescent="0.2">
      <c r="A78" t="s">
        <v>81</v>
      </c>
      <c r="B78">
        <v>0.62098600000000004</v>
      </c>
      <c r="F78" t="s">
        <v>81</v>
      </c>
      <c r="G78">
        <v>0.61985122942616122</v>
      </c>
      <c r="N78">
        <f t="shared" si="1"/>
        <v>-1.8576580602347459E-4</v>
      </c>
    </row>
    <row r="79" spans="1:14" x14ac:dyDescent="0.2">
      <c r="A79" t="s">
        <v>82</v>
      </c>
      <c r="B79">
        <v>0.71292350000000004</v>
      </c>
      <c r="F79" t="s">
        <v>82</v>
      </c>
      <c r="G79">
        <v>0.71273773419397657</v>
      </c>
      <c r="N79">
        <f t="shared" si="1"/>
        <v>4.4551253944433711E-3</v>
      </c>
    </row>
    <row r="80" spans="1:14" x14ac:dyDescent="0.2">
      <c r="A80" t="s">
        <v>83</v>
      </c>
      <c r="B80">
        <v>0.95773739999999996</v>
      </c>
      <c r="F80" t="s">
        <v>83</v>
      </c>
      <c r="G80">
        <v>0.96219252539444333</v>
      </c>
      <c r="N80">
        <f t="shared" si="1"/>
        <v>-1.4649580117529482E-3</v>
      </c>
    </row>
    <row r="81" spans="1:14" x14ac:dyDescent="0.2">
      <c r="A81" t="s">
        <v>84</v>
      </c>
      <c r="B81">
        <v>1.307231</v>
      </c>
      <c r="F81" t="s">
        <v>84</v>
      </c>
      <c r="G81">
        <v>1.3057660419882471</v>
      </c>
      <c r="N81">
        <f t="shared" si="1"/>
        <v>-2.5352615719352878E-3</v>
      </c>
    </row>
    <row r="82" spans="1:14" x14ac:dyDescent="0.2">
      <c r="A82" t="s">
        <v>85</v>
      </c>
      <c r="B82">
        <v>0.75652920000000001</v>
      </c>
      <c r="F82" t="s">
        <v>85</v>
      </c>
      <c r="G82">
        <v>0.75399393842806472</v>
      </c>
      <c r="N82">
        <f t="shared" si="1"/>
        <v>-4.8132639142894895E-4</v>
      </c>
    </row>
    <row r="83" spans="1:14" x14ac:dyDescent="0.2">
      <c r="A83" t="s">
        <v>86</v>
      </c>
      <c r="B83">
        <v>1.560427</v>
      </c>
      <c r="F83" t="s">
        <v>86</v>
      </c>
      <c r="G83">
        <v>1.5599456736085711</v>
      </c>
      <c r="N83">
        <f t="shared" si="1"/>
        <v>-0.23729260541039809</v>
      </c>
    </row>
    <row r="84" spans="1:14" x14ac:dyDescent="0.2">
      <c r="A84" t="s">
        <v>87</v>
      </c>
      <c r="B84">
        <v>2.1454080000000002</v>
      </c>
      <c r="F84" t="s">
        <v>87</v>
      </c>
      <c r="G84">
        <v>1.9081153945896021</v>
      </c>
      <c r="N84">
        <f t="shared" si="1"/>
        <v>0.15104314881519598</v>
      </c>
    </row>
    <row r="85" spans="1:14" x14ac:dyDescent="0.2">
      <c r="A85" t="s">
        <v>88</v>
      </c>
      <c r="B85">
        <v>0.93274440000000003</v>
      </c>
      <c r="F85" t="s">
        <v>88</v>
      </c>
      <c r="G85">
        <v>1.083787548815196</v>
      </c>
      <c r="N85">
        <f t="shared" si="1"/>
        <v>5.2742676068759931E-3</v>
      </c>
    </row>
    <row r="86" spans="1:14" x14ac:dyDescent="0.2">
      <c r="A86" t="s">
        <v>89</v>
      </c>
      <c r="B86">
        <v>1.09351</v>
      </c>
      <c r="F86" t="s">
        <v>89</v>
      </c>
      <c r="G86">
        <v>1.098784267606876</v>
      </c>
      <c r="N86">
        <f t="shared" si="1"/>
        <v>3.6698298005257701E-3</v>
      </c>
    </row>
    <row r="87" spans="1:14" x14ac:dyDescent="0.2">
      <c r="A87" t="s">
        <v>90</v>
      </c>
      <c r="B87">
        <v>0.64473670000000005</v>
      </c>
      <c r="F87" t="s">
        <v>90</v>
      </c>
      <c r="G87">
        <v>0.64840652980052582</v>
      </c>
      <c r="N87">
        <f t="shared" si="1"/>
        <v>-7.1496490201060192E-2</v>
      </c>
    </row>
    <row r="88" spans="1:14" x14ac:dyDescent="0.2">
      <c r="A88" t="s">
        <v>91</v>
      </c>
      <c r="B88">
        <v>0.59826749999999995</v>
      </c>
      <c r="F88" t="s">
        <v>91</v>
      </c>
      <c r="G88">
        <v>0.52677100979893976</v>
      </c>
      <c r="N88">
        <f t="shared" si="1"/>
        <v>-3.9894921944972128E-2</v>
      </c>
    </row>
    <row r="89" spans="1:14" x14ac:dyDescent="0.2">
      <c r="A89" t="s">
        <v>92</v>
      </c>
      <c r="B89">
        <v>0.64227440000000002</v>
      </c>
      <c r="F89" t="s">
        <v>92</v>
      </c>
      <c r="G89">
        <v>0.60237947805502789</v>
      </c>
      <c r="N89">
        <f t="shared" si="1"/>
        <v>-1.5810315654475326E-2</v>
      </c>
    </row>
    <row r="90" spans="1:14" x14ac:dyDescent="0.2">
      <c r="A90" t="s">
        <v>93</v>
      </c>
      <c r="B90">
        <v>0.73971489999999995</v>
      </c>
      <c r="F90" t="s">
        <v>93</v>
      </c>
      <c r="G90">
        <v>0.72390458434552463</v>
      </c>
      <c r="N90">
        <f t="shared" si="1"/>
        <v>-3.275577406732566E-2</v>
      </c>
    </row>
    <row r="91" spans="1:14" x14ac:dyDescent="0.2">
      <c r="A91" t="s">
        <v>94</v>
      </c>
      <c r="B91">
        <v>0.66599560000000002</v>
      </c>
      <c r="F91" t="s">
        <v>94</v>
      </c>
      <c r="G91">
        <v>0.63323982593267436</v>
      </c>
      <c r="N91">
        <f t="shared" si="1"/>
        <v>-1.0479660567276339E-3</v>
      </c>
    </row>
    <row r="92" spans="1:14" x14ac:dyDescent="0.2">
      <c r="A92" t="s">
        <v>95</v>
      </c>
      <c r="B92">
        <v>0.56474630000000003</v>
      </c>
      <c r="F92" t="s">
        <v>95</v>
      </c>
      <c r="G92">
        <v>0.5636983339432724</v>
      </c>
      <c r="N92">
        <f t="shared" si="1"/>
        <v>-2.3112604529973102E-2</v>
      </c>
    </row>
    <row r="93" spans="1:14" x14ac:dyDescent="0.2">
      <c r="A93" t="s">
        <v>96</v>
      </c>
      <c r="B93">
        <v>0.8864573</v>
      </c>
      <c r="F93" t="s">
        <v>96</v>
      </c>
      <c r="G93">
        <v>0.8633446954700269</v>
      </c>
      <c r="N93">
        <f t="shared" si="1"/>
        <v>-6.7358600587026474E-2</v>
      </c>
    </row>
    <row r="94" spans="1:14" x14ac:dyDescent="0.2">
      <c r="A94" t="s">
        <v>97</v>
      </c>
      <c r="B94">
        <v>0.95257800000000004</v>
      </c>
      <c r="F94" t="s">
        <v>97</v>
      </c>
      <c r="G94">
        <v>0.88521939941297356</v>
      </c>
      <c r="N94">
        <f t="shared" si="1"/>
        <v>0.10406701371453098</v>
      </c>
    </row>
    <row r="95" spans="1:14" x14ac:dyDescent="0.2">
      <c r="A95" t="s">
        <v>98</v>
      </c>
      <c r="B95">
        <v>1.0033449999999999</v>
      </c>
      <c r="F95" t="s">
        <v>98</v>
      </c>
      <c r="G95">
        <v>1.1074120137145309</v>
      </c>
      <c r="N95">
        <f t="shared" si="1"/>
        <v>-0.10934858116738688</v>
      </c>
    </row>
    <row r="96" spans="1:14" x14ac:dyDescent="0.2">
      <c r="A96" t="s">
        <v>99</v>
      </c>
      <c r="B96">
        <v>2.0916109999999999</v>
      </c>
      <c r="F96" t="s">
        <v>99</v>
      </c>
      <c r="G96">
        <v>1.982262418832613</v>
      </c>
      <c r="N96">
        <f t="shared" si="1"/>
        <v>0.17753113159586498</v>
      </c>
    </row>
    <row r="97" spans="1:14" x14ac:dyDescent="0.2">
      <c r="A97" t="s">
        <v>100</v>
      </c>
      <c r="B97">
        <v>0.95132930000000004</v>
      </c>
      <c r="F97" t="s">
        <v>100</v>
      </c>
      <c r="G97">
        <v>1.128860431595865</v>
      </c>
      <c r="N97">
        <f t="shared" si="1"/>
        <v>2.6109270890637859E-2</v>
      </c>
    </row>
    <row r="98" spans="1:14" x14ac:dyDescent="0.2">
      <c r="A98" t="s">
        <v>101</v>
      </c>
      <c r="B98">
        <v>1.6503380000000001</v>
      </c>
      <c r="F98" t="s">
        <v>101</v>
      </c>
      <c r="G98">
        <v>1.6764472708906379</v>
      </c>
      <c r="N98">
        <f t="shared" si="1"/>
        <v>-6.6177462395394793E-2</v>
      </c>
    </row>
    <row r="99" spans="1:14" x14ac:dyDescent="0.2">
      <c r="A99" t="s">
        <v>102</v>
      </c>
      <c r="B99">
        <v>1.0848469999999999</v>
      </c>
      <c r="F99" t="s">
        <v>102</v>
      </c>
      <c r="G99">
        <v>1.0186695376046051</v>
      </c>
      <c r="N99">
        <f>G100-B100</f>
        <v>-2.6021874785453813E-2</v>
      </c>
    </row>
    <row r="100" spans="1:14" x14ac:dyDescent="0.2">
      <c r="A100" t="s">
        <v>103</v>
      </c>
      <c r="B100">
        <v>0.84630760000000005</v>
      </c>
      <c r="F100" t="s">
        <v>103</v>
      </c>
      <c r="G100">
        <v>0.82028572521454624</v>
      </c>
      <c r="N100">
        <f t="shared" ref="N100:N145" si="2">G101-B101</f>
        <v>-3.1245807369486678E-2</v>
      </c>
    </row>
    <row r="101" spans="1:14" x14ac:dyDescent="0.2">
      <c r="A101" t="s">
        <v>104</v>
      </c>
      <c r="B101">
        <v>0.94934759999999996</v>
      </c>
      <c r="F101" t="s">
        <v>104</v>
      </c>
      <c r="G101">
        <v>0.91810179263051328</v>
      </c>
      <c r="N101">
        <f t="shared" si="2"/>
        <v>-6.3052897118929252E-3</v>
      </c>
    </row>
    <row r="102" spans="1:14" x14ac:dyDescent="0.2">
      <c r="A102" t="s">
        <v>105</v>
      </c>
      <c r="B102">
        <v>1.023776</v>
      </c>
      <c r="F102" t="s">
        <v>105</v>
      </c>
      <c r="G102">
        <v>1.0174707102881071</v>
      </c>
      <c r="N102">
        <f t="shared" si="2"/>
        <v>2.5059542256100631E-4</v>
      </c>
    </row>
    <row r="103" spans="1:14" x14ac:dyDescent="0.2">
      <c r="A103" t="s">
        <v>106</v>
      </c>
      <c r="B103">
        <v>0.7303579</v>
      </c>
      <c r="F103" t="s">
        <v>106</v>
      </c>
      <c r="G103">
        <v>0.73060849542256101</v>
      </c>
      <c r="N103">
        <f t="shared" si="2"/>
        <v>2.2968978642438964E-2</v>
      </c>
    </row>
    <row r="104" spans="1:14" x14ac:dyDescent="0.2">
      <c r="A104" t="s">
        <v>107</v>
      </c>
      <c r="B104">
        <v>0.84427700000000006</v>
      </c>
      <c r="F104" t="s">
        <v>107</v>
      </c>
      <c r="G104">
        <v>0.86724597864243902</v>
      </c>
      <c r="N104">
        <f t="shared" si="2"/>
        <v>-4.3935586822488326E-2</v>
      </c>
    </row>
    <row r="105" spans="1:14" x14ac:dyDescent="0.2">
      <c r="A105" t="s">
        <v>108</v>
      </c>
      <c r="B105">
        <v>0.78823089999999996</v>
      </c>
      <c r="F105" t="s">
        <v>108</v>
      </c>
      <c r="G105">
        <v>0.74429531317751163</v>
      </c>
      <c r="N105">
        <f t="shared" si="2"/>
        <v>7.9094552642067217E-4</v>
      </c>
    </row>
    <row r="106" spans="1:14" x14ac:dyDescent="0.2">
      <c r="A106" t="s">
        <v>109</v>
      </c>
      <c r="B106">
        <v>0.6371734</v>
      </c>
      <c r="F106" t="s">
        <v>109</v>
      </c>
      <c r="G106">
        <v>0.63796434552642067</v>
      </c>
      <c r="N106">
        <f t="shared" si="2"/>
        <v>-3.4345134537594468E-5</v>
      </c>
    </row>
    <row r="107" spans="1:14" x14ac:dyDescent="0.2">
      <c r="A107" t="s">
        <v>110</v>
      </c>
      <c r="B107">
        <v>0.62067410000000001</v>
      </c>
      <c r="F107" t="s">
        <v>110</v>
      </c>
      <c r="G107">
        <v>0.62063975486546241</v>
      </c>
      <c r="N107">
        <f t="shared" si="2"/>
        <v>-5.6073555690618893E-3</v>
      </c>
    </row>
    <row r="108" spans="1:14" x14ac:dyDescent="0.2">
      <c r="A108" t="s">
        <v>111</v>
      </c>
      <c r="B108">
        <v>1.092263</v>
      </c>
      <c r="F108" t="s">
        <v>111</v>
      </c>
      <c r="G108">
        <v>1.0866556444309381</v>
      </c>
      <c r="N108">
        <f t="shared" si="2"/>
        <v>1.6745321422932946E-3</v>
      </c>
    </row>
    <row r="109" spans="1:14" x14ac:dyDescent="0.2">
      <c r="A109" t="s">
        <v>112</v>
      </c>
      <c r="B109">
        <v>0.76589589999999996</v>
      </c>
      <c r="F109" t="s">
        <v>112</v>
      </c>
      <c r="G109">
        <v>0.76757043214229326</v>
      </c>
      <c r="N109">
        <f t="shared" si="2"/>
        <v>-2.0825875117497228E-2</v>
      </c>
    </row>
    <row r="110" spans="1:14" x14ac:dyDescent="0.2">
      <c r="A110" t="s">
        <v>113</v>
      </c>
      <c r="B110">
        <v>1.0146189999999999</v>
      </c>
      <c r="F110" t="s">
        <v>113</v>
      </c>
      <c r="G110">
        <v>0.99379312488250271</v>
      </c>
      <c r="N110">
        <f t="shared" si="2"/>
        <v>9.266824773745963E-3</v>
      </c>
    </row>
    <row r="111" spans="1:14" x14ac:dyDescent="0.2">
      <c r="A111" t="s">
        <v>114</v>
      </c>
      <c r="B111">
        <v>1.5930139999999999</v>
      </c>
      <c r="F111" t="s">
        <v>114</v>
      </c>
      <c r="G111">
        <v>1.6022808247737459</v>
      </c>
      <c r="N111">
        <f t="shared" si="2"/>
        <v>-4.8331888738670781E-3</v>
      </c>
    </row>
    <row r="112" spans="1:14" x14ac:dyDescent="0.2">
      <c r="A112" t="s">
        <v>115</v>
      </c>
      <c r="B112">
        <v>1.894263</v>
      </c>
      <c r="F112" t="s">
        <v>115</v>
      </c>
      <c r="G112">
        <v>1.889429811126133</v>
      </c>
      <c r="N112">
        <f t="shared" si="2"/>
        <v>-1.7920437745910789E-3</v>
      </c>
    </row>
    <row r="113" spans="1:14" x14ac:dyDescent="0.2">
      <c r="A113" t="s">
        <v>116</v>
      </c>
      <c r="B113">
        <v>1.3940980000000001</v>
      </c>
      <c r="F113" t="s">
        <v>116</v>
      </c>
      <c r="G113">
        <v>1.392305956225409</v>
      </c>
      <c r="N113">
        <f t="shared" si="2"/>
        <v>7.1077427563615014E-4</v>
      </c>
    </row>
    <row r="114" spans="1:14" x14ac:dyDescent="0.2">
      <c r="A114" t="s">
        <v>117</v>
      </c>
      <c r="B114">
        <v>0.69034910000000005</v>
      </c>
      <c r="F114" t="s">
        <v>117</v>
      </c>
      <c r="G114">
        <v>0.6910598742756362</v>
      </c>
      <c r="N114">
        <f t="shared" si="2"/>
        <v>-3.0151506072827461E-3</v>
      </c>
    </row>
    <row r="115" spans="1:14" x14ac:dyDescent="0.2">
      <c r="A115" t="s">
        <v>118</v>
      </c>
      <c r="B115">
        <v>0.93730290000000005</v>
      </c>
      <c r="F115" t="s">
        <v>118</v>
      </c>
      <c r="G115">
        <v>0.9342877493927173</v>
      </c>
      <c r="N115">
        <f t="shared" si="2"/>
        <v>-1.3555786401280301E-3</v>
      </c>
    </row>
    <row r="116" spans="1:14" x14ac:dyDescent="0.2">
      <c r="A116" t="s">
        <v>119</v>
      </c>
      <c r="B116">
        <v>1.0814790000000001</v>
      </c>
      <c r="F116" t="s">
        <v>119</v>
      </c>
      <c r="G116">
        <v>1.080123421359872</v>
      </c>
      <c r="N116">
        <f t="shared" si="2"/>
        <v>5.948506043096824E-3</v>
      </c>
    </row>
    <row r="117" spans="1:14" x14ac:dyDescent="0.2">
      <c r="A117" t="s">
        <v>120</v>
      </c>
      <c r="B117">
        <v>1.1474230000000001</v>
      </c>
      <c r="F117" t="s">
        <v>120</v>
      </c>
      <c r="G117">
        <v>1.1533715060430969</v>
      </c>
      <c r="N117">
        <f t="shared" si="2"/>
        <v>0.18149457639909994</v>
      </c>
    </row>
    <row r="118" spans="1:14" x14ac:dyDescent="0.2">
      <c r="A118" t="s">
        <v>121</v>
      </c>
      <c r="B118">
        <v>0.69203510000000001</v>
      </c>
      <c r="F118" t="s">
        <v>121</v>
      </c>
      <c r="G118">
        <v>0.87352967639909995</v>
      </c>
      <c r="N118">
        <f t="shared" si="2"/>
        <v>5.7868490870694567E-2</v>
      </c>
    </row>
    <row r="119" spans="1:14" x14ac:dyDescent="0.2">
      <c r="A119" t="s">
        <v>122</v>
      </c>
      <c r="B119">
        <v>0.7205317</v>
      </c>
      <c r="F119" t="s">
        <v>122</v>
      </c>
      <c r="G119">
        <v>0.77840019087069456</v>
      </c>
      <c r="N119">
        <f t="shared" si="2"/>
        <v>3.4337998379100343E-3</v>
      </c>
    </row>
    <row r="120" spans="1:14" x14ac:dyDescent="0.2">
      <c r="A120" t="s">
        <v>123</v>
      </c>
      <c r="B120">
        <v>0.75554399999999999</v>
      </c>
      <c r="F120" t="s">
        <v>123</v>
      </c>
      <c r="G120">
        <v>0.75897779983791003</v>
      </c>
      <c r="N120">
        <f t="shared" si="2"/>
        <v>4.4777137268455114E-2</v>
      </c>
    </row>
    <row r="121" spans="1:14" x14ac:dyDescent="0.2">
      <c r="A121" t="s">
        <v>124</v>
      </c>
      <c r="B121">
        <v>1.1633979999999999</v>
      </c>
      <c r="F121" t="s">
        <v>124</v>
      </c>
      <c r="G121">
        <v>1.208175137268455</v>
      </c>
      <c r="N121">
        <f t="shared" si="2"/>
        <v>0.1710226506198258</v>
      </c>
    </row>
    <row r="122" spans="1:14" x14ac:dyDescent="0.2">
      <c r="A122" t="s">
        <v>125</v>
      </c>
      <c r="B122">
        <v>1.1665080000000001</v>
      </c>
      <c r="F122" t="s">
        <v>125</v>
      </c>
      <c r="G122">
        <v>1.3375306506198259</v>
      </c>
      <c r="N122">
        <f t="shared" si="2"/>
        <v>-0.19758851523811383</v>
      </c>
    </row>
    <row r="123" spans="1:14" x14ac:dyDescent="0.2">
      <c r="A123" t="s">
        <v>126</v>
      </c>
      <c r="B123">
        <v>2.0846279999999999</v>
      </c>
      <c r="F123" t="s">
        <v>126</v>
      </c>
      <c r="G123">
        <v>1.8870394847618861</v>
      </c>
      <c r="N123">
        <f t="shared" si="2"/>
        <v>0.14343481308039396</v>
      </c>
    </row>
    <row r="124" spans="1:14" x14ac:dyDescent="0.2">
      <c r="A124" t="s">
        <v>127</v>
      </c>
      <c r="B124">
        <v>1.0659320000000001</v>
      </c>
      <c r="F124" t="s">
        <v>127</v>
      </c>
      <c r="G124">
        <v>1.2093668130803941</v>
      </c>
      <c r="N124">
        <f t="shared" si="2"/>
        <v>9.0789948965053213E-4</v>
      </c>
    </row>
    <row r="125" spans="1:14" x14ac:dyDescent="0.2">
      <c r="A125" t="s">
        <v>128</v>
      </c>
      <c r="B125">
        <v>0.75264500000000001</v>
      </c>
      <c r="F125" t="s">
        <v>128</v>
      </c>
      <c r="G125">
        <v>0.75355289948965054</v>
      </c>
      <c r="N125">
        <f t="shared" si="2"/>
        <v>1.0638543927171673E-3</v>
      </c>
    </row>
    <row r="126" spans="1:14" x14ac:dyDescent="0.2">
      <c r="A126" t="s">
        <v>129</v>
      </c>
      <c r="B126">
        <v>0.79579440000000001</v>
      </c>
      <c r="F126" t="s">
        <v>129</v>
      </c>
      <c r="G126">
        <v>0.79685825439271718</v>
      </c>
      <c r="N126">
        <f t="shared" si="2"/>
        <v>2.8976117629724296E-3</v>
      </c>
    </row>
    <row r="127" spans="1:14" x14ac:dyDescent="0.2">
      <c r="A127" t="s">
        <v>130</v>
      </c>
      <c r="B127">
        <v>0.96135970000000004</v>
      </c>
      <c r="F127" t="s">
        <v>130</v>
      </c>
      <c r="G127">
        <v>0.96425731176297247</v>
      </c>
      <c r="N127">
        <f t="shared" si="2"/>
        <v>-8.0520653393376662E-3</v>
      </c>
    </row>
    <row r="128" spans="1:14" x14ac:dyDescent="0.2">
      <c r="A128" t="s">
        <v>131</v>
      </c>
      <c r="B128">
        <v>0.88812780000000002</v>
      </c>
      <c r="F128" t="s">
        <v>131</v>
      </c>
      <c r="G128">
        <v>0.88007573466066236</v>
      </c>
      <c r="N128">
        <f t="shared" si="2"/>
        <v>-0.15612970065130893</v>
      </c>
    </row>
    <row r="129" spans="1:14" x14ac:dyDescent="0.2">
      <c r="A129" t="s">
        <v>132</v>
      </c>
      <c r="B129">
        <v>1.691689</v>
      </c>
      <c r="F129" t="s">
        <v>132</v>
      </c>
      <c r="G129">
        <v>1.5355592993486911</v>
      </c>
      <c r="N129">
        <f t="shared" si="2"/>
        <v>3.6922545089684844E-2</v>
      </c>
    </row>
    <row r="130" spans="1:14" x14ac:dyDescent="0.2">
      <c r="A130" t="s">
        <v>133</v>
      </c>
      <c r="B130">
        <v>1.263341</v>
      </c>
      <c r="F130" t="s">
        <v>133</v>
      </c>
      <c r="G130">
        <v>1.3002635450896849</v>
      </c>
      <c r="N130">
        <f t="shared" si="2"/>
        <v>4.4673814288068048E-2</v>
      </c>
    </row>
    <row r="131" spans="1:14" x14ac:dyDescent="0.2">
      <c r="A131" t="s">
        <v>134</v>
      </c>
      <c r="B131">
        <v>1.2533129999999999</v>
      </c>
      <c r="F131" t="s">
        <v>134</v>
      </c>
      <c r="G131">
        <v>1.2979868142880679</v>
      </c>
      <c r="N131">
        <f t="shared" si="2"/>
        <v>3.5662665405224225E-2</v>
      </c>
    </row>
    <row r="132" spans="1:14" x14ac:dyDescent="0.2">
      <c r="A132" t="s">
        <v>135</v>
      </c>
      <c r="B132">
        <v>0.88232370000000004</v>
      </c>
      <c r="F132" t="s">
        <v>135</v>
      </c>
      <c r="G132">
        <v>0.91798636540522427</v>
      </c>
      <c r="N132">
        <f t="shared" si="2"/>
        <v>-6.7909390696818672E-4</v>
      </c>
    </row>
    <row r="133" spans="1:14" x14ac:dyDescent="0.2">
      <c r="A133" t="s">
        <v>136</v>
      </c>
      <c r="B133">
        <v>0.77564480000000002</v>
      </c>
      <c r="F133" t="s">
        <v>136</v>
      </c>
      <c r="G133">
        <v>0.77496570609303184</v>
      </c>
      <c r="N133">
        <f t="shared" si="2"/>
        <v>7.3899058976009124E-3</v>
      </c>
    </row>
    <row r="134" spans="1:14" x14ac:dyDescent="0.2">
      <c r="A134" t="s">
        <v>137</v>
      </c>
      <c r="B134">
        <v>0.84003669999999997</v>
      </c>
      <c r="F134" t="s">
        <v>137</v>
      </c>
      <c r="G134">
        <v>0.84742660589760088</v>
      </c>
      <c r="N134">
        <f t="shared" si="2"/>
        <v>2.0390125712910212E-4</v>
      </c>
    </row>
    <row r="135" spans="1:14" x14ac:dyDescent="0.2">
      <c r="A135" t="s">
        <v>138</v>
      </c>
      <c r="B135">
        <v>0.88219539999999996</v>
      </c>
      <c r="F135" t="s">
        <v>138</v>
      </c>
      <c r="G135">
        <v>0.88239930125712907</v>
      </c>
      <c r="N135">
        <f t="shared" si="2"/>
        <v>-7.3449347877907467E-4</v>
      </c>
    </row>
    <row r="136" spans="1:14" x14ac:dyDescent="0.2">
      <c r="A136" t="s">
        <v>139</v>
      </c>
      <c r="B136">
        <v>0.87067879999999997</v>
      </c>
      <c r="F136" t="s">
        <v>139</v>
      </c>
      <c r="G136">
        <v>0.8699443065212209</v>
      </c>
      <c r="N136">
        <f t="shared" si="2"/>
        <v>4.5020352872831015E-3</v>
      </c>
    </row>
    <row r="137" spans="1:14" x14ac:dyDescent="0.2">
      <c r="A137" t="s">
        <v>140</v>
      </c>
      <c r="B137">
        <v>1.530589</v>
      </c>
      <c r="F137" t="s">
        <v>140</v>
      </c>
      <c r="G137">
        <v>1.5350910352872831</v>
      </c>
      <c r="N137">
        <f t="shared" si="2"/>
        <v>2.1227226379694208E-4</v>
      </c>
    </row>
    <row r="138" spans="1:14" x14ac:dyDescent="0.2">
      <c r="A138" t="s">
        <v>141</v>
      </c>
      <c r="B138">
        <v>1.211638</v>
      </c>
      <c r="F138" t="s">
        <v>141</v>
      </c>
      <c r="G138">
        <v>1.2118502722637969</v>
      </c>
      <c r="N138">
        <f t="shared" si="2"/>
        <v>-1.9100451176571331E-3</v>
      </c>
    </row>
    <row r="139" spans="1:14" x14ac:dyDescent="0.2">
      <c r="A139" t="s">
        <v>142</v>
      </c>
      <c r="B139">
        <v>0.84487239999999997</v>
      </c>
      <c r="F139" t="s">
        <v>142</v>
      </c>
      <c r="G139">
        <v>0.84296235488234283</v>
      </c>
      <c r="N139">
        <f t="shared" si="2"/>
        <v>-1.4210776254243163E-3</v>
      </c>
    </row>
    <row r="140" spans="1:14" x14ac:dyDescent="0.2">
      <c r="A140" t="s">
        <v>143</v>
      </c>
      <c r="B140">
        <v>0.58501389999999998</v>
      </c>
      <c r="F140" t="s">
        <v>143</v>
      </c>
      <c r="G140">
        <v>0.58359282237457566</v>
      </c>
      <c r="N140">
        <f t="shared" si="2"/>
        <v>4.2262484013079193E-3</v>
      </c>
    </row>
    <row r="141" spans="1:14" x14ac:dyDescent="0.2">
      <c r="A141" t="s">
        <v>144</v>
      </c>
      <c r="B141">
        <v>0.97652159999999999</v>
      </c>
      <c r="F141" t="s">
        <v>144</v>
      </c>
      <c r="G141">
        <v>0.98074784840130791</v>
      </c>
      <c r="N141">
        <f t="shared" si="2"/>
        <v>1.8103644036766675E-2</v>
      </c>
    </row>
    <row r="142" spans="1:14" x14ac:dyDescent="0.2">
      <c r="A142" t="s">
        <v>145</v>
      </c>
      <c r="B142">
        <v>0.91361040000000004</v>
      </c>
      <c r="F142" t="s">
        <v>145</v>
      </c>
      <c r="G142">
        <v>0.93171404403676672</v>
      </c>
      <c r="N142">
        <f t="shared" si="2"/>
        <v>0.36260821907430474</v>
      </c>
    </row>
    <row r="143" spans="1:14" x14ac:dyDescent="0.2">
      <c r="A143" t="s">
        <v>146</v>
      </c>
      <c r="B143">
        <v>3.6048420000000001</v>
      </c>
      <c r="F143" t="s">
        <v>146</v>
      </c>
      <c r="G143">
        <v>3.9674502190743048</v>
      </c>
      <c r="N143">
        <f t="shared" si="2"/>
        <v>1.8245329545012012E-2</v>
      </c>
    </row>
    <row r="144" spans="1:14" x14ac:dyDescent="0.2">
      <c r="A144" t="s">
        <v>147</v>
      </c>
      <c r="B144">
        <v>1.0933679999999999</v>
      </c>
      <c r="F144" t="s">
        <v>147</v>
      </c>
      <c r="G144">
        <v>1.1116133295450119</v>
      </c>
      <c r="N144">
        <f t="shared" si="2"/>
        <v>2.3303519257503624E-2</v>
      </c>
    </row>
    <row r="145" spans="1:14" x14ac:dyDescent="0.2">
      <c r="A145" t="s">
        <v>148</v>
      </c>
      <c r="B145">
        <v>0.76130920000000002</v>
      </c>
      <c r="F145" t="s">
        <v>148</v>
      </c>
      <c r="G145">
        <v>0.78461271925750364</v>
      </c>
      <c r="N145">
        <f t="shared" si="2"/>
        <v>-1.8040590775151522E-2</v>
      </c>
    </row>
    <row r="146" spans="1:14" x14ac:dyDescent="0.2">
      <c r="A146" t="s">
        <v>149</v>
      </c>
      <c r="B146">
        <v>0.75077320000000003</v>
      </c>
      <c r="F146" t="s">
        <v>149</v>
      </c>
      <c r="G146">
        <v>0.73273260922484851</v>
      </c>
      <c r="N146">
        <f>G147-B147</f>
        <v>9.0921813517248484E-2</v>
      </c>
    </row>
    <row r="147" spans="1:14" x14ac:dyDescent="0.2">
      <c r="A147" t="s">
        <v>150</v>
      </c>
      <c r="B147">
        <v>0.64930370000000004</v>
      </c>
      <c r="F147" t="s">
        <v>150</v>
      </c>
      <c r="G147">
        <v>0.74022551351724852</v>
      </c>
      <c r="N147">
        <f t="shared" ref="N147:N180" si="3">G148-B148</f>
        <v>1.1071580644206325E-3</v>
      </c>
    </row>
    <row r="148" spans="1:14" x14ac:dyDescent="0.2">
      <c r="A148" t="s">
        <v>151</v>
      </c>
      <c r="B148">
        <v>0.8902987</v>
      </c>
      <c r="F148" t="s">
        <v>151</v>
      </c>
      <c r="G148">
        <v>0.89140585806442063</v>
      </c>
      <c r="N148">
        <f t="shared" si="3"/>
        <v>3.0754632144078808E-3</v>
      </c>
    </row>
    <row r="149" spans="1:14" x14ac:dyDescent="0.2">
      <c r="A149" t="s">
        <v>152</v>
      </c>
      <c r="B149">
        <v>1.0675030000000001</v>
      </c>
      <c r="F149" t="s">
        <v>152</v>
      </c>
      <c r="G149">
        <v>1.070578463214408</v>
      </c>
      <c r="N149">
        <f t="shared" si="3"/>
        <v>-3.9870516778428566E-4</v>
      </c>
    </row>
    <row r="150" spans="1:14" x14ac:dyDescent="0.2">
      <c r="A150" t="s">
        <v>153</v>
      </c>
      <c r="B150">
        <v>0.77994399999999997</v>
      </c>
      <c r="F150" t="s">
        <v>153</v>
      </c>
      <c r="G150">
        <v>0.77954529483221568</v>
      </c>
      <c r="N150">
        <f t="shared" si="3"/>
        <v>-6.0191993347066264E-3</v>
      </c>
    </row>
    <row r="151" spans="1:14" x14ac:dyDescent="0.2">
      <c r="A151" t="s">
        <v>154</v>
      </c>
      <c r="B151">
        <v>0.80663969999999996</v>
      </c>
      <c r="F151" t="s">
        <v>154</v>
      </c>
      <c r="G151">
        <v>0.80062050066529333</v>
      </c>
      <c r="N151">
        <f t="shared" si="3"/>
        <v>6.725676165697525E-5</v>
      </c>
    </row>
    <row r="152" spans="1:14" x14ac:dyDescent="0.2">
      <c r="A152" t="s">
        <v>155</v>
      </c>
      <c r="B152">
        <v>0.69257990000000003</v>
      </c>
      <c r="F152" t="s">
        <v>155</v>
      </c>
      <c r="G152">
        <v>0.692647156761657</v>
      </c>
      <c r="N152">
        <f t="shared" si="3"/>
        <v>-4.1876169562028442E-3</v>
      </c>
    </row>
    <row r="153" spans="1:14" x14ac:dyDescent="0.2">
      <c r="A153" t="s">
        <v>156</v>
      </c>
      <c r="B153">
        <v>0.52433920000000001</v>
      </c>
      <c r="F153" t="s">
        <v>156</v>
      </c>
      <c r="G153">
        <v>0.52015158304379716</v>
      </c>
      <c r="N153">
        <f t="shared" si="3"/>
        <v>-3.3354587680256564E-4</v>
      </c>
    </row>
    <row r="154" spans="1:14" x14ac:dyDescent="0.2">
      <c r="A154" t="s">
        <v>157</v>
      </c>
      <c r="B154">
        <v>0.66491299999999998</v>
      </c>
      <c r="F154" t="s">
        <v>157</v>
      </c>
      <c r="G154">
        <v>0.66457945412319741</v>
      </c>
      <c r="N154">
        <f t="shared" si="3"/>
        <v>1.0491112452577951</v>
      </c>
    </row>
    <row r="155" spans="1:14" x14ac:dyDescent="0.2">
      <c r="A155" t="s">
        <v>158</v>
      </c>
      <c r="F155" t="s">
        <v>158</v>
      </c>
      <c r="G155">
        <v>1.0491112452577951</v>
      </c>
    </row>
    <row r="156" spans="1:14" x14ac:dyDescent="0.2">
      <c r="A156" t="s">
        <v>159</v>
      </c>
      <c r="F156" t="s">
        <v>159</v>
      </c>
      <c r="G156">
        <v>1.7562028376394789</v>
      </c>
    </row>
    <row r="157" spans="1:14" x14ac:dyDescent="0.2">
      <c r="A157" t="s">
        <v>160</v>
      </c>
      <c r="F157" t="s">
        <v>160</v>
      </c>
      <c r="G157">
        <v>1.071139806487154</v>
      </c>
    </row>
    <row r="158" spans="1:14" x14ac:dyDescent="0.2">
      <c r="A158" t="s">
        <v>161</v>
      </c>
      <c r="F158" t="s">
        <v>161</v>
      </c>
      <c r="G158">
        <v>1.538103192567837</v>
      </c>
    </row>
    <row r="159" spans="1:14" x14ac:dyDescent="0.2">
      <c r="A159" t="s">
        <v>162</v>
      </c>
      <c r="F159" t="s">
        <v>162</v>
      </c>
      <c r="G159">
        <v>1.296870277493108</v>
      </c>
    </row>
    <row r="160" spans="1:14" x14ac:dyDescent="0.2">
      <c r="A160" t="s">
        <v>163</v>
      </c>
      <c r="F160" t="s">
        <v>163</v>
      </c>
      <c r="G160">
        <v>1.6620632155746371</v>
      </c>
    </row>
    <row r="161" spans="1:14" x14ac:dyDescent="0.2">
      <c r="A161" t="s">
        <v>164</v>
      </c>
      <c r="F161" t="s">
        <v>164</v>
      </c>
      <c r="G161">
        <v>1.2549225562152639</v>
      </c>
    </row>
    <row r="162" spans="1:14" x14ac:dyDescent="0.2">
      <c r="A162" t="s">
        <v>165</v>
      </c>
      <c r="F162" t="s">
        <v>165</v>
      </c>
      <c r="G162">
        <v>0.91515580038558808</v>
      </c>
    </row>
    <row r="163" spans="1:14" x14ac:dyDescent="0.2">
      <c r="A163" t="s">
        <v>166</v>
      </c>
      <c r="F163" t="s">
        <v>166</v>
      </c>
      <c r="G163">
        <v>0.89207976277981849</v>
      </c>
    </row>
    <row r="164" spans="1:14" x14ac:dyDescent="0.2">
      <c r="A164" t="s">
        <v>167</v>
      </c>
      <c r="F164" t="s">
        <v>167</v>
      </c>
      <c r="G164">
        <v>0.99982567497475305</v>
      </c>
    </row>
    <row r="165" spans="1:14" x14ac:dyDescent="0.2">
      <c r="A165" t="s">
        <v>168</v>
      </c>
      <c r="F165" t="s">
        <v>168</v>
      </c>
      <c r="G165">
        <v>1.6991055984338741</v>
      </c>
    </row>
    <row r="166" spans="1:14" x14ac:dyDescent="0.2">
      <c r="A166" t="s">
        <v>169</v>
      </c>
      <c r="F166" t="s">
        <v>169</v>
      </c>
      <c r="G166">
        <v>0.73505701703486859</v>
      </c>
    </row>
    <row r="167" spans="1:14" x14ac:dyDescent="0.2">
      <c r="A167" t="s">
        <v>170</v>
      </c>
      <c r="F167" t="s">
        <v>170</v>
      </c>
      <c r="G167">
        <v>0.95142618984305527</v>
      </c>
    </row>
    <row r="168" spans="1:14" x14ac:dyDescent="0.2">
      <c r="A168" t="s">
        <v>171</v>
      </c>
      <c r="F168" t="s">
        <v>171</v>
      </c>
      <c r="G168">
        <v>1.0529446451943969</v>
      </c>
      <c r="N168">
        <f t="shared" si="3"/>
        <v>-1.1532528261992359E-2</v>
      </c>
    </row>
    <row r="169" spans="1:14" x14ac:dyDescent="0.2">
      <c r="A169" t="s">
        <v>172</v>
      </c>
      <c r="B169">
        <v>0.86040906891588931</v>
      </c>
      <c r="F169" t="s">
        <v>172</v>
      </c>
      <c r="G169">
        <v>0.84887654065389695</v>
      </c>
      <c r="N169">
        <f t="shared" si="3"/>
        <v>0</v>
      </c>
    </row>
    <row r="170" spans="1:14" x14ac:dyDescent="0.2">
      <c r="A170" t="s">
        <v>173</v>
      </c>
      <c r="B170">
        <v>1.0366693954734842</v>
      </c>
      <c r="F170" t="s">
        <v>173</v>
      </c>
      <c r="G170">
        <v>1.0366693954734829</v>
      </c>
      <c r="N170">
        <f t="shared" si="3"/>
        <v>8.8817841970012523E-16</v>
      </c>
    </row>
    <row r="171" spans="1:14" x14ac:dyDescent="0.2">
      <c r="A171" t="s">
        <v>174</v>
      </c>
      <c r="B171">
        <v>0.70413912867448947</v>
      </c>
      <c r="F171" t="s">
        <v>174</v>
      </c>
      <c r="G171">
        <v>0.70413912867449036</v>
      </c>
      <c r="N171">
        <f t="shared" si="3"/>
        <v>2.0018810788983599E-2</v>
      </c>
    </row>
    <row r="172" spans="1:14" x14ac:dyDescent="0.2">
      <c r="A172" t="s">
        <v>175</v>
      </c>
      <c r="B172">
        <v>0.80155578740589928</v>
      </c>
      <c r="F172" t="s">
        <v>175</v>
      </c>
      <c r="G172">
        <v>0.82157459819488288</v>
      </c>
      <c r="N172">
        <f t="shared" si="3"/>
        <v>0</v>
      </c>
    </row>
    <row r="173" spans="1:14" x14ac:dyDescent="0.2">
      <c r="A173" t="s">
        <v>176</v>
      </c>
      <c r="B173">
        <v>0.81541496035034378</v>
      </c>
      <c r="F173" t="s">
        <v>176</v>
      </c>
      <c r="G173">
        <v>0.81541496035034411</v>
      </c>
      <c r="N173">
        <f t="shared" si="3"/>
        <v>0</v>
      </c>
    </row>
    <row r="174" spans="1:14" x14ac:dyDescent="0.2">
      <c r="A174" t="s">
        <v>177</v>
      </c>
      <c r="B174">
        <v>0.98495338289070267</v>
      </c>
      <c r="F174" t="s">
        <v>177</v>
      </c>
      <c r="G174">
        <v>0.98495338289070256</v>
      </c>
      <c r="N174">
        <f t="shared" si="3"/>
        <v>2.1094237467877974E-15</v>
      </c>
    </row>
    <row r="175" spans="1:14" x14ac:dyDescent="0.2">
      <c r="A175" t="s">
        <v>178</v>
      </c>
      <c r="B175">
        <v>0.76295310193650567</v>
      </c>
      <c r="F175" t="s">
        <v>178</v>
      </c>
      <c r="G175">
        <v>0.76295310193650778</v>
      </c>
      <c r="N175">
        <f t="shared" si="3"/>
        <v>0.18915177023288732</v>
      </c>
    </row>
    <row r="176" spans="1:14" x14ac:dyDescent="0.2">
      <c r="A176" t="s">
        <v>179</v>
      </c>
      <c r="B176">
        <v>0.86837636686316877</v>
      </c>
      <c r="F176" t="s">
        <v>179</v>
      </c>
      <c r="G176">
        <v>1.0575281370960561</v>
      </c>
      <c r="N176">
        <f t="shared" si="3"/>
        <v>0</v>
      </c>
    </row>
    <row r="177" spans="1:14" x14ac:dyDescent="0.2">
      <c r="A177" t="s">
        <v>180</v>
      </c>
      <c r="B177">
        <v>5.879765516184416</v>
      </c>
      <c r="F177" t="s">
        <v>180</v>
      </c>
      <c r="G177">
        <v>5.879765516184416</v>
      </c>
      <c r="N177">
        <f t="shared" si="3"/>
        <v>0</v>
      </c>
    </row>
    <row r="178" spans="1:14" x14ac:dyDescent="0.2">
      <c r="A178" t="s">
        <v>181</v>
      </c>
      <c r="B178">
        <v>4.8362368169055934</v>
      </c>
      <c r="F178" t="s">
        <v>181</v>
      </c>
      <c r="G178">
        <v>4.8362368169055889</v>
      </c>
      <c r="N178">
        <f t="shared" si="3"/>
        <v>0</v>
      </c>
    </row>
    <row r="179" spans="1:14" x14ac:dyDescent="0.2">
      <c r="A179" t="s">
        <v>182</v>
      </c>
      <c r="B179">
        <v>2.0350426463099098</v>
      </c>
      <c r="F179" t="s">
        <v>182</v>
      </c>
      <c r="G179">
        <v>2.0350426463099112</v>
      </c>
      <c r="N179">
        <f t="shared" si="3"/>
        <v>0</v>
      </c>
    </row>
    <row r="181" spans="1:14" x14ac:dyDescent="0.2">
      <c r="F181" t="s">
        <v>183</v>
      </c>
      <c r="G181">
        <v>1.240802856745409</v>
      </c>
    </row>
    <row r="182" spans="1:14" x14ac:dyDescent="0.2">
      <c r="F182" t="s">
        <v>184</v>
      </c>
      <c r="G182">
        <v>1.5738619366366899</v>
      </c>
    </row>
    <row r="183" spans="1:14" x14ac:dyDescent="0.2">
      <c r="F183" t="s">
        <v>185</v>
      </c>
      <c r="G183">
        <v>1.8315116260688991</v>
      </c>
    </row>
    <row r="184" spans="1:14" x14ac:dyDescent="0.2">
      <c r="F184" t="s">
        <v>186</v>
      </c>
      <c r="G184">
        <v>2.2794846318274682</v>
      </c>
    </row>
    <row r="185" spans="1:14" x14ac:dyDescent="0.2">
      <c r="F185" t="s">
        <v>187</v>
      </c>
      <c r="G185">
        <v>1.657488692462566</v>
      </c>
    </row>
    <row r="186" spans="1:14" x14ac:dyDescent="0.2">
      <c r="F186" t="s">
        <v>188</v>
      </c>
      <c r="G186">
        <v>1.7263271563742519</v>
      </c>
    </row>
    <row r="187" spans="1:14" x14ac:dyDescent="0.2">
      <c r="F187" t="s">
        <v>189</v>
      </c>
      <c r="G187">
        <v>1.7270600056264409</v>
      </c>
    </row>
    <row r="188" spans="1:14" x14ac:dyDescent="0.2">
      <c r="F188" t="s">
        <v>190</v>
      </c>
      <c r="G188">
        <v>2.038499966705539</v>
      </c>
    </row>
    <row r="189" spans="1:14" x14ac:dyDescent="0.2">
      <c r="F189" t="s">
        <v>191</v>
      </c>
      <c r="G189">
        <v>1.9849747072960491</v>
      </c>
    </row>
    <row r="190" spans="1:14" x14ac:dyDescent="0.2">
      <c r="F190" t="s">
        <v>192</v>
      </c>
      <c r="G190">
        <v>3.0178909721979852</v>
      </c>
    </row>
    <row r="191" spans="1:14" x14ac:dyDescent="0.2">
      <c r="F191" t="s">
        <v>193</v>
      </c>
      <c r="G191">
        <v>2.3826521334189921</v>
      </c>
    </row>
    <row r="192" spans="1:14" x14ac:dyDescent="0.2">
      <c r="F192" t="s">
        <v>194</v>
      </c>
      <c r="G192">
        <v>1.4385458113558101</v>
      </c>
    </row>
    <row r="193" spans="6:7" x14ac:dyDescent="0.2">
      <c r="F193" t="s">
        <v>195</v>
      </c>
      <c r="G193">
        <v>1.481745584561643</v>
      </c>
    </row>
    <row r="194" spans="6:7" x14ac:dyDescent="0.2">
      <c r="F194" t="s">
        <v>196</v>
      </c>
      <c r="G194">
        <v>1.9503189184591609</v>
      </c>
    </row>
    <row r="195" spans="6:7" x14ac:dyDescent="0.2">
      <c r="F195" t="s">
        <v>197</v>
      </c>
      <c r="G195">
        <v>2.7305664708414268</v>
      </c>
    </row>
    <row r="196" spans="6:7" x14ac:dyDescent="0.2">
      <c r="F196" t="s">
        <v>198</v>
      </c>
      <c r="G196">
        <v>1.086465670453252</v>
      </c>
    </row>
    <row r="197" spans="6:7" x14ac:dyDescent="0.2">
      <c r="F197" t="s">
        <v>199</v>
      </c>
      <c r="G197">
        <v>1.5159009361923059</v>
      </c>
    </row>
    <row r="198" spans="6:7" x14ac:dyDescent="0.2">
      <c r="F198" t="s">
        <v>200</v>
      </c>
      <c r="G198">
        <v>1.063261151562747</v>
      </c>
    </row>
    <row r="199" spans="6:7" x14ac:dyDescent="0.2">
      <c r="F199" t="s">
        <v>201</v>
      </c>
      <c r="G199">
        <v>1.508993001914313</v>
      </c>
    </row>
    <row r="200" spans="6:7" x14ac:dyDescent="0.2">
      <c r="F200" t="s">
        <v>202</v>
      </c>
      <c r="G200">
        <v>2.842233393544026</v>
      </c>
    </row>
    <row r="201" spans="6:7" x14ac:dyDescent="0.2">
      <c r="F201" t="s">
        <v>203</v>
      </c>
      <c r="G201">
        <v>1.8637585605146849</v>
      </c>
    </row>
    <row r="202" spans="6:7" x14ac:dyDescent="0.2">
      <c r="F202" t="s">
        <v>204</v>
      </c>
      <c r="G202">
        <v>2.0040322757653768</v>
      </c>
    </row>
    <row r="203" spans="6:7" x14ac:dyDescent="0.2">
      <c r="F203" t="s">
        <v>205</v>
      </c>
      <c r="G203">
        <v>1.9421924091359939</v>
      </c>
    </row>
    <row r="204" spans="6:7" x14ac:dyDescent="0.2">
      <c r="F204" t="s">
        <v>206</v>
      </c>
      <c r="G204">
        <v>1.0748197877867129</v>
      </c>
    </row>
    <row r="205" spans="6:7" x14ac:dyDescent="0.2">
      <c r="F205" t="s">
        <v>207</v>
      </c>
      <c r="G205">
        <v>1.0937132654389841</v>
      </c>
    </row>
    <row r="206" spans="6:7" x14ac:dyDescent="0.2">
      <c r="F206" t="s">
        <v>208</v>
      </c>
      <c r="G206">
        <v>0.88497586551935048</v>
      </c>
    </row>
    <row r="207" spans="6:7" x14ac:dyDescent="0.2">
      <c r="F207" t="s">
        <v>209</v>
      </c>
      <c r="G207">
        <v>1.085392868014976</v>
      </c>
    </row>
    <row r="208" spans="6:7" x14ac:dyDescent="0.2">
      <c r="F208" t="s">
        <v>210</v>
      </c>
      <c r="G208">
        <v>1.252158399925867</v>
      </c>
    </row>
    <row r="209" spans="6:7" x14ac:dyDescent="0.2">
      <c r="F209" t="s">
        <v>211</v>
      </c>
      <c r="G209">
        <v>0.82716927244650185</v>
      </c>
    </row>
    <row r="210" spans="6:7" x14ac:dyDescent="0.2">
      <c r="F210" t="s">
        <v>212</v>
      </c>
      <c r="G210">
        <v>2.0527729680210389</v>
      </c>
    </row>
    <row r="211" spans="6:7" x14ac:dyDescent="0.2">
      <c r="F211" t="s">
        <v>213</v>
      </c>
      <c r="G211">
        <v>1.3940641765299051</v>
      </c>
    </row>
    <row r="212" spans="6:7" x14ac:dyDescent="0.2">
      <c r="F212" t="s">
        <v>214</v>
      </c>
      <c r="G212">
        <v>1.404173020141507</v>
      </c>
    </row>
    <row r="213" spans="6:7" x14ac:dyDescent="0.2">
      <c r="F213" t="s">
        <v>215</v>
      </c>
      <c r="G213">
        <v>0.88677954846491114</v>
      </c>
    </row>
    <row r="214" spans="6:7" x14ac:dyDescent="0.2">
      <c r="F214" t="s">
        <v>216</v>
      </c>
      <c r="G214">
        <v>1.023953278831186</v>
      </c>
    </row>
    <row r="215" spans="6:7" x14ac:dyDescent="0.2">
      <c r="F215" t="s">
        <v>217</v>
      </c>
      <c r="G215">
        <v>1.187952261160802</v>
      </c>
    </row>
    <row r="216" spans="6:7" x14ac:dyDescent="0.2">
      <c r="F216" t="s">
        <v>218</v>
      </c>
      <c r="G216">
        <v>1.026445896979566</v>
      </c>
    </row>
    <row r="217" spans="6:7" x14ac:dyDescent="0.2">
      <c r="F217" t="s">
        <v>219</v>
      </c>
      <c r="G217">
        <v>0.92202242959339331</v>
      </c>
    </row>
    <row r="218" spans="6:7" x14ac:dyDescent="0.2">
      <c r="F218" t="s">
        <v>220</v>
      </c>
      <c r="G218">
        <v>0.80891367496784261</v>
      </c>
    </row>
    <row r="219" spans="6:7" x14ac:dyDescent="0.2">
      <c r="F219" t="s">
        <v>221</v>
      </c>
      <c r="G219">
        <v>0.91374802271204314</v>
      </c>
    </row>
    <row r="220" spans="6:7" x14ac:dyDescent="0.2">
      <c r="F220" t="s">
        <v>222</v>
      </c>
      <c r="G220">
        <v>0.93546753443109609</v>
      </c>
    </row>
    <row r="221" spans="6:7" x14ac:dyDescent="0.2">
      <c r="F221" t="s">
        <v>223</v>
      </c>
      <c r="G221">
        <v>1.2217433555918</v>
      </c>
    </row>
    <row r="222" spans="6:7" x14ac:dyDescent="0.2">
      <c r="F222" t="s">
        <v>224</v>
      </c>
      <c r="G222">
        <v>0.89775334955879948</v>
      </c>
    </row>
    <row r="223" spans="6:7" x14ac:dyDescent="0.2">
      <c r="F223" t="s">
        <v>225</v>
      </c>
      <c r="G223">
        <v>0.75058623149891079</v>
      </c>
    </row>
    <row r="224" spans="6:7" x14ac:dyDescent="0.2">
      <c r="F224" t="s">
        <v>226</v>
      </c>
      <c r="G224">
        <v>0.63712919671191726</v>
      </c>
    </row>
    <row r="225" spans="6:7" x14ac:dyDescent="0.2">
      <c r="F225" t="s">
        <v>227</v>
      </c>
      <c r="G225">
        <v>0.49492358240210782</v>
      </c>
    </row>
    <row r="226" spans="6:7" x14ac:dyDescent="0.2">
      <c r="F226" t="s">
        <v>228</v>
      </c>
      <c r="G226">
        <v>0.56836173210016017</v>
      </c>
    </row>
    <row r="227" spans="6:7" x14ac:dyDescent="0.2">
      <c r="F227" t="s">
        <v>229</v>
      </c>
      <c r="G227">
        <v>0.8664921772059262</v>
      </c>
    </row>
    <row r="228" spans="6:7" x14ac:dyDescent="0.2">
      <c r="F228" t="s">
        <v>230</v>
      </c>
      <c r="G228">
        <v>0.80810464743115207</v>
      </c>
    </row>
    <row r="229" spans="6:7" x14ac:dyDescent="0.2">
      <c r="F229" t="s">
        <v>231</v>
      </c>
      <c r="G229">
        <v>0.73187176451636493</v>
      </c>
    </row>
    <row r="230" spans="6:7" x14ac:dyDescent="0.2">
      <c r="F230" t="s">
        <v>232</v>
      </c>
      <c r="G230">
        <v>0.90621161858997901</v>
      </c>
    </row>
    <row r="231" spans="6:7" x14ac:dyDescent="0.2">
      <c r="F231" t="s">
        <v>233</v>
      </c>
      <c r="G231">
        <v>0.99135802896271252</v>
      </c>
    </row>
    <row r="232" spans="6:7" x14ac:dyDescent="0.2">
      <c r="F232" t="s">
        <v>234</v>
      </c>
      <c r="G232">
        <v>1.0006584638271769</v>
      </c>
    </row>
    <row r="233" spans="6:7" x14ac:dyDescent="0.2">
      <c r="F233" t="s">
        <v>235</v>
      </c>
      <c r="G233">
        <v>0.98513837523505976</v>
      </c>
    </row>
    <row r="234" spans="6:7" x14ac:dyDescent="0.2">
      <c r="F234" t="s">
        <v>236</v>
      </c>
      <c r="G234">
        <v>1.0740521399501299</v>
      </c>
    </row>
    <row r="235" spans="6:7" x14ac:dyDescent="0.2">
      <c r="F235" t="s">
        <v>237</v>
      </c>
      <c r="G235">
        <v>2.1336023236492498</v>
      </c>
    </row>
    <row r="236" spans="6:7" x14ac:dyDescent="0.2">
      <c r="F236" t="s">
        <v>238</v>
      </c>
      <c r="G236">
        <v>1.096668458990874</v>
      </c>
    </row>
    <row r="237" spans="6:7" x14ac:dyDescent="0.2">
      <c r="F237" t="s">
        <v>239</v>
      </c>
      <c r="G237">
        <v>1.094796063808003</v>
      </c>
    </row>
    <row r="238" spans="6:7" x14ac:dyDescent="0.2">
      <c r="F238" t="s">
        <v>240</v>
      </c>
      <c r="G238">
        <v>0.88182401704041669</v>
      </c>
    </row>
    <row r="239" spans="6:7" x14ac:dyDescent="0.2">
      <c r="F239" t="s">
        <v>241</v>
      </c>
      <c r="G239">
        <v>0.86213179580030364</v>
      </c>
    </row>
    <row r="240" spans="6:7" x14ac:dyDescent="0.2">
      <c r="F240" t="s">
        <v>242</v>
      </c>
      <c r="G240">
        <v>0.74216121466477847</v>
      </c>
    </row>
    <row r="241" spans="6:7" x14ac:dyDescent="0.2">
      <c r="F241" t="s">
        <v>243</v>
      </c>
      <c r="G241">
        <v>0.69760474239961823</v>
      </c>
    </row>
    <row r="242" spans="6:7" x14ac:dyDescent="0.2">
      <c r="F242" t="s">
        <v>244</v>
      </c>
      <c r="G242">
        <v>0.58630598761371711</v>
      </c>
    </row>
    <row r="243" spans="6:7" x14ac:dyDescent="0.2">
      <c r="F243" t="s">
        <v>245</v>
      </c>
      <c r="G243">
        <v>0.60225321809136823</v>
      </c>
    </row>
    <row r="244" spans="6:7" x14ac:dyDescent="0.2">
      <c r="F244" t="s">
        <v>246</v>
      </c>
      <c r="G244">
        <v>0.42784925210902941</v>
      </c>
    </row>
    <row r="245" spans="6:7" x14ac:dyDescent="0.2">
      <c r="F245" t="s">
        <v>247</v>
      </c>
      <c r="G245">
        <v>0.53487566684840415</v>
      </c>
    </row>
    <row r="246" spans="6:7" x14ac:dyDescent="0.2">
      <c r="F246" t="s">
        <v>248</v>
      </c>
      <c r="G246">
        <v>0.30502695839229682</v>
      </c>
    </row>
    <row r="247" spans="6:7" x14ac:dyDescent="0.2">
      <c r="F247" t="s">
        <v>249</v>
      </c>
      <c r="G247">
        <v>0.78453894215965359</v>
      </c>
    </row>
    <row r="248" spans="6:7" x14ac:dyDescent="0.2">
      <c r="F248" t="s">
        <v>250</v>
      </c>
      <c r="G248">
        <v>0.5889048272673546</v>
      </c>
    </row>
    <row r="249" spans="6:7" x14ac:dyDescent="0.2">
      <c r="F249" t="s">
        <v>251</v>
      </c>
      <c r="G249">
        <v>0.44551922826356488</v>
      </c>
    </row>
    <row r="250" spans="6:7" x14ac:dyDescent="0.2">
      <c r="F250" t="s">
        <v>252</v>
      </c>
      <c r="G250">
        <v>1.2910217456705919</v>
      </c>
    </row>
    <row r="251" spans="6:7" x14ac:dyDescent="0.2">
      <c r="F251" t="s">
        <v>253</v>
      </c>
      <c r="G251">
        <v>0.76827860487879596</v>
      </c>
    </row>
    <row r="252" spans="6:7" x14ac:dyDescent="0.2">
      <c r="F252" t="s">
        <v>254</v>
      </c>
      <c r="G252">
        <v>0.80016907509818502</v>
      </c>
    </row>
    <row r="253" spans="6:7" x14ac:dyDescent="0.2">
      <c r="F253" t="s">
        <v>255</v>
      </c>
      <c r="G253">
        <v>1.068497642379804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Greece Ex Rate</vt:lpstr>
      <vt:lpstr>Brasil Bond Yields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Del Col</dc:creator>
  <cp:lastModifiedBy>Lorenzo Del Col</cp:lastModifiedBy>
  <dcterms:created xsi:type="dcterms:W3CDTF">2026-06-18T09:15:35Z</dcterms:created>
  <dcterms:modified xsi:type="dcterms:W3CDTF">2026-06-18T13:27:33Z</dcterms:modified>
</cp:coreProperties>
</file>